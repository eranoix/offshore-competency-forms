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EATAX DAY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<sst xmlns="http://schemas.openxmlformats.org/spreadsheetml/2006/main" count="100" uniqueCount="28">
  <si>
    <t xml:space="preserve">Day Left UK</t>
  </si>
  <si>
    <t xml:space="preserve">Day Return UK</t>
  </si>
  <si>
    <t xml:space="preserve">Days Out</t>
  </si>
  <si>
    <t xml:space="preserve">Days In</t>
  </si>
  <si>
    <t xml:space="preserve">Total Days</t>
  </si>
  <si>
    <t xml:space="preserve">Half Days</t>
  </si>
  <si>
    <t xml:space="preserve">Running Days In UK</t>
  </si>
  <si>
    <t xml:space="preserve">YES / NO</t>
  </si>
  <si>
    <t xml:space="preserve">FAIL DATE</t>
  </si>
  <si>
    <t xml:space="preserve">FORREIGN PORT OF CALL DATE</t>
  </si>
  <si>
    <t xml:space="preserve">DAYS IN HAND</t>
  </si>
  <si>
    <t xml:space="preserve">Bergen, Norway</t>
  </si>
  <si>
    <t xml:space="preserve">Stavanger, norway</t>
  </si>
  <si>
    <t xml:space="preserve">Takoradi, Ghana</t>
  </si>
  <si>
    <t xml:space="preserve">Mindelo, Cape Verde</t>
  </si>
  <si>
    <t xml:space="preserve">lerwick, uk</t>
  </si>
  <si>
    <t xml:space="preserve">Las Palmas, Spain</t>
  </si>
  <si>
    <t xml:space="preserve">Cuxhaven, Germany</t>
  </si>
  <si>
    <t xml:space="preserve">Den Helder, Netherlands</t>
  </si>
  <si>
    <t xml:space="preserve">Walvis Bay, Namibia</t>
  </si>
  <si>
    <t xml:space="preserve">Valletta, Malta</t>
  </si>
  <si>
    <t xml:space="preserve">Esbjerg, Denmark</t>
  </si>
  <si>
    <t xml:space="preserve">Port-Gentil, Gabon</t>
  </si>
  <si>
    <t xml:space="preserve">Great Yarmouth</t>
  </si>
  <si>
    <t xml:space="preserve">Montrose</t>
  </si>
  <si>
    <t xml:space="preserve">Lerwick, Shetland</t>
  </si>
  <si>
    <t xml:space="preserve">Blyth, UK</t>
  </si>
  <si>
    <t xml:space="preserve">great yarmouth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</si>
</sst>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d\-mmm\-yy"/>
    <numFmt numFmtId="167" formatCode="#,##0.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defaultColWidth="8.6171875" defaultRowHeight="12.75" customHeight="true" zeroHeight="false" outlineLevelRow="0" outlineLevelCol="0"/>
  <cols>
    <col collapsed="false" customWidth="true" hidden="false" outlineLevel="0" max="2" min="1" style="0" width="11.5"/>
    <col collapsed="false" customWidth="true" hidden="false" outlineLevel="0" max="8" min="3" style="0" width="10"/>
    <col collapsed="false" customWidth="true" hidden="false" outlineLevel="0" max="9" min="9" style="0" width="11.5"/>
    <col collapsed="false" customWidth="true" hidden="false" outlineLevel="0" max="10" min="10" style="0" width="28"/>
    <col collapsed="false" customWidth="true" hidden="false" outlineLevel="0" max="12" min="11" style="0" width="11.5"/>
  </cols>
  <sheetData>
    <row r="1" customFormat="false" ht="38.2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n">
        <f aca="false">SUM(C3:C441)</f>
        <v>2405</v>
      </c>
    </row>
    <row r="2" customFormat="false" ht="13.8" hidden="false" customHeight="false" outlineLevel="0" collapsed="false">
      <c r="A2" s="3" t="n">
        <v>41428</v>
      </c>
      <c r="J2" s="4" t="s">
        <v>11</v>
      </c>
    </row>
    <row r="3" customFormat="false" ht="13.8" hidden="false" customHeight="false" outlineLevel="0" collapsed="false">
      <c r="B3" s="3" t="n">
        <v>41445</v>
      </c>
      <c r="C3" s="2" t="n">
        <f aca="false">IF(B3=0,"-",B3-A2)</f>
        <v>17</v>
      </c>
      <c r="E3" s="2" t="n">
        <f aca="false">IF(B3=0,"-",E2+D3+C3)</f>
        <v>17</v>
      </c>
      <c r="F3" s="5" t="n">
        <f aca="false">IF(B3=0,"-",E3*0.5)</f>
        <v>8.5</v>
      </c>
      <c r="H3" s="4" t="str">
        <f aca="false">IF(B3=0,"-",IF(G2&gt;F3,"YES","NO"))</f>
        <v>NO</v>
      </c>
      <c r="I3" s="3" t="n">
        <f aca="false">IF(B3=0,"*",B3+(2*(F3-G2)))</f>
        <v>41462</v>
      </c>
      <c r="K3" s="5" t="n">
        <f aca="false">IF(B3=0,"*",F3-G2)</f>
        <v>8.5</v>
      </c>
    </row>
    <row r="4" customFormat="false" ht="13.8" hidden="false" customHeight="false" outlineLevel="0" collapsed="false">
      <c r="A4" s="3" t="n">
        <v>41457</v>
      </c>
      <c r="D4" s="2" t="n">
        <f aca="false">IF(A4=0,"-",A4-B3)</f>
        <v>12</v>
      </c>
      <c r="E4" s="2" t="n">
        <f aca="false">IF(A4=0,"-",E3+D4+C4)</f>
        <v>29</v>
      </c>
      <c r="G4" s="2" t="n">
        <f aca="false">IF(A4=0,"-",D4+G2)</f>
        <v>12</v>
      </c>
      <c r="J4" s="4" t="s">
        <v>12</v>
      </c>
    </row>
    <row r="5" customFormat="false" ht="13.8" hidden="false" customHeight="false" outlineLevel="0" collapsed="false">
      <c r="B5" s="3" t="n">
        <v>41481</v>
      </c>
      <c r="C5" s="2" t="n">
        <f aca="false">IF(B5=0,"-",B5-A4)</f>
        <v>24</v>
      </c>
      <c r="E5" s="2" t="n">
        <f aca="false">IF(B5=0,"-",E4+D5+C5)</f>
        <v>53</v>
      </c>
      <c r="F5" s="5" t="n">
        <f aca="false">IF(B5=0,"-",E5*0.5)</f>
        <v>26.5</v>
      </c>
      <c r="H5" s="4" t="str">
        <f aca="false">IF(B5=0,"-",IF(G4&gt;F5,"YES","NO"))</f>
        <v>NO</v>
      </c>
      <c r="I5" s="3" t="n">
        <f aca="false">IF(B5=0,"*",B5+(2*(F5-G4)))</f>
        <v>41510</v>
      </c>
      <c r="K5" s="5" t="n">
        <f aca="false">IF(B5=0,"*",F5-G4)</f>
        <v>14.5</v>
      </c>
    </row>
    <row r="6" customFormat="false" ht="13.8" hidden="false" customHeight="false" outlineLevel="0" collapsed="false">
      <c r="A6" s="3" t="n">
        <v>41504</v>
      </c>
      <c r="D6" s="2" t="n">
        <f aca="false">IF(A6=0,"-",A6-B5)</f>
        <v>23</v>
      </c>
      <c r="E6" s="2" t="n">
        <f aca="false">IF(A6=0,"-",E5+D6+C6)</f>
        <v>76</v>
      </c>
      <c r="G6" s="2" t="n">
        <f aca="false">IF(A6=0,"-",D6+G4)</f>
        <v>35</v>
      </c>
      <c r="J6" s="4" t="s">
        <v>13</v>
      </c>
    </row>
    <row r="7" customFormat="false" ht="13.8" hidden="false" customHeight="false" outlineLevel="0" collapsed="false">
      <c r="B7" s="3" t="n">
        <v>41535</v>
      </c>
      <c r="C7" s="2" t="n">
        <f aca="false">IF(B7=0,"-",B7-A6)</f>
        <v>31</v>
      </c>
      <c r="E7" s="2" t="n">
        <f aca="false">IF(B7=0,"-",E6+D7+C7)</f>
        <v>107</v>
      </c>
      <c r="F7" s="5" t="n">
        <f aca="false">IF(B7=0,"-",E7*0.5)</f>
        <v>53.5</v>
      </c>
      <c r="H7" s="4" t="str">
        <f aca="false">IF(B7=0,"-",IF(G6&gt;F7,"YES","NO"))</f>
        <v>NO</v>
      </c>
      <c r="I7" s="3" t="n">
        <f aca="false">IF(B7=0,"*",B7+(2*(F7-G6)))</f>
        <v>41572</v>
      </c>
      <c r="K7" s="5" t="n">
        <f aca="false">IF(B7=0,"*",F7-G6)</f>
        <v>18.5</v>
      </c>
    </row>
    <row r="8" customFormat="false" ht="13.8" hidden="false" customHeight="false" outlineLevel="0" collapsed="false">
      <c r="A8" s="3" t="n">
        <v>41552</v>
      </c>
      <c r="D8" s="2" t="n">
        <f aca="false">IF(A8=0,"-",A8-B7)</f>
        <v>17</v>
      </c>
      <c r="E8" s="2" t="n">
        <f aca="false">IF(A8=0,"-",E7+D8+C8)</f>
        <v>124</v>
      </c>
      <c r="G8" s="2" t="n">
        <f aca="false">IF(A8=0,"-",D8+G6)</f>
        <v>52</v>
      </c>
      <c r="J8" s="4" t="s">
        <v>14</v>
      </c>
    </row>
    <row r="9" customFormat="false" ht="13.8" hidden="false" customHeight="false" outlineLevel="0" collapsed="false">
      <c r="B9" s="3" t="n">
        <v>41575</v>
      </c>
      <c r="C9" s="2" t="n">
        <f aca="false">IF(B9=0,"-",B9-A8)</f>
        <v>23</v>
      </c>
      <c r="E9" s="2" t="n">
        <f aca="false">IF(B9=0,"-",E8+D9+C9)</f>
        <v>147</v>
      </c>
      <c r="F9" s="5" t="n">
        <f aca="false">IF(B9=0,"-",E9*0.5)</f>
        <v>73.5</v>
      </c>
      <c r="H9" s="4" t="str">
        <f aca="false">IF(B9=0,"-",IF(G8&gt;F9,"YES","NO"))</f>
        <v>NO</v>
      </c>
      <c r="I9" s="3" t="n">
        <f aca="false">IF(B9=0,"*",B9+(2*(F9-G8)))</f>
        <v>41618</v>
      </c>
      <c r="K9" s="5" t="n">
        <f aca="false">IF(B9=0,"*",F9-G8)</f>
        <v>21.5</v>
      </c>
    </row>
    <row r="10" customFormat="false" ht="13.8" hidden="false" customHeight="false" outlineLevel="0" collapsed="false">
      <c r="A10" s="3" t="n">
        <v>41603</v>
      </c>
      <c r="D10" s="2" t="n">
        <f aca="false">IF(A10=0,"-",A10-B9)</f>
        <v>28</v>
      </c>
      <c r="E10" s="2" t="n">
        <f aca="false">IF(A10=0,"-",E9+D10+C10)</f>
        <v>175</v>
      </c>
      <c r="G10" s="2" t="n">
        <f aca="false">IF(A10=0,"-",D10+G8)</f>
        <v>80</v>
      </c>
    </row>
    <row r="11" customFormat="false" ht="13.8" hidden="false" customHeight="false" outlineLevel="0" collapsed="false">
      <c r="B11" s="3" t="n">
        <v>41633</v>
      </c>
      <c r="C11" s="2" t="n">
        <f aca="false">IF(B11=0,"-",B11-A10)</f>
        <v>30</v>
      </c>
      <c r="E11" s="2" t="n">
        <f aca="false">IF(B11=0,"-",E10+D11+C11)</f>
        <v>205</v>
      </c>
      <c r="F11" s="5" t="n">
        <f aca="false">IF(B11=0,"-",E11*0.5)</f>
        <v>102.5</v>
      </c>
      <c r="H11" s="4" t="str">
        <f aca="false">IF(B11=0,"-",IF(G10&gt;F11,"YES","NO"))</f>
        <v>NO</v>
      </c>
      <c r="I11" s="3" t="n">
        <f aca="false">IF(B11=0,"*",B11+(2*(F11-G10)))</f>
        <v>41678</v>
      </c>
      <c r="K11" s="5" t="n">
        <f aca="false">IF(B11=0,"*",F11-G10)</f>
        <v>22.5</v>
      </c>
    </row>
    <row r="12" customFormat="false" ht="13.8" hidden="false" customHeight="false" outlineLevel="0" collapsed="false">
      <c r="A12" s="3" t="n">
        <v>41655</v>
      </c>
      <c r="D12" s="2" t="n">
        <f aca="false">IF(A12=0,"-",A12-B11)</f>
        <v>22</v>
      </c>
      <c r="E12" s="2" t="n">
        <f aca="false">IF(A12=0,"-",E11+D12+C12)</f>
        <v>227</v>
      </c>
      <c r="G12" s="2" t="n">
        <f aca="false">IF(A12=0,"-",D12+G10)</f>
        <v>102</v>
      </c>
      <c r="J12" s="4" t="s">
        <v>15</v>
      </c>
    </row>
    <row r="13" customFormat="false" ht="13.8" hidden="false" customHeight="false" outlineLevel="0" collapsed="false">
      <c r="B13" s="3" t="n">
        <v>41677</v>
      </c>
      <c r="C13" s="2" t="n">
        <f aca="false">IF(B13=0,"-",B13-A12)</f>
        <v>22</v>
      </c>
      <c r="E13" s="2" t="n">
        <f aca="false">IF(B13=0,"-",E12+D13+C13)</f>
        <v>249</v>
      </c>
      <c r="F13" s="5" t="n">
        <f aca="false">IF(B13=0,"-",E13*0.5)</f>
        <v>124.5</v>
      </c>
      <c r="H13" s="4" t="str">
        <f aca="false">IF(B13=0,"-",IF(G12&gt;F13,"YES","NO"))</f>
        <v>NO</v>
      </c>
      <c r="I13" s="3" t="n">
        <f aca="false">IF(B13=0,"*",B13+(2*(F13-G12)))</f>
        <v>41722</v>
      </c>
      <c r="K13" s="5" t="n">
        <f aca="false">IF(B13=0,"*",F13-G12)</f>
        <v>22.5</v>
      </c>
    </row>
    <row r="14" customFormat="false" ht="13.8" hidden="false" customHeight="false" outlineLevel="0" collapsed="false">
      <c r="A14" s="3" t="n">
        <v>41693</v>
      </c>
      <c r="D14" s="2" t="n">
        <f aca="false">IF(A14=0,"-",A14-B13)</f>
        <v>16</v>
      </c>
      <c r="E14" s="2" t="n">
        <f aca="false">IF(A14=0,"-",E13+D14+C14)</f>
        <v>265</v>
      </c>
      <c r="G14" s="2" t="n">
        <f aca="false">IF(A14=0,"-",D14+G12)</f>
        <v>118</v>
      </c>
      <c r="J14" s="4" t="s">
        <v>16</v>
      </c>
    </row>
    <row r="15" customFormat="false" ht="13.8" hidden="false" customHeight="false" outlineLevel="0" collapsed="false">
      <c r="B15" s="3" t="n">
        <v>41722</v>
      </c>
      <c r="C15" s="2" t="n">
        <f aca="false">IF(B15=0,"-",B15-A14)</f>
        <v>29</v>
      </c>
      <c r="E15" s="2" t="n">
        <f aca="false">IF(B15=0,"-",E14+D15+C15)</f>
        <v>294</v>
      </c>
      <c r="F15" s="5" t="n">
        <f aca="false">IF(B15=0,"-",E15*0.5)</f>
        <v>147</v>
      </c>
      <c r="H15" s="4" t="str">
        <f aca="false">IF(B15=0,"-",IF(G14&gt;F15,"YES","NO"))</f>
        <v>NO</v>
      </c>
      <c r="I15" s="3" t="n">
        <f aca="false">IF(B15=0,"*",B15+(2*(F15-G14)))</f>
        <v>41780</v>
      </c>
      <c r="K15" s="5" t="n">
        <f aca="false">IF(B15=0,"*",F15-G14)</f>
        <v>29</v>
      </c>
    </row>
    <row r="16" customFormat="false" ht="13.8" hidden="false" customHeight="false" outlineLevel="0" collapsed="false">
      <c r="A16" s="3" t="n">
        <v>41749</v>
      </c>
      <c r="D16" s="2" t="n">
        <f aca="false">IF(A16=0,"-",A16-B15)</f>
        <v>27</v>
      </c>
      <c r="E16" s="2" t="n">
        <f aca="false">IF(A16=0,"-",E15+D16+C16)</f>
        <v>321</v>
      </c>
      <c r="G16" s="2" t="n">
        <f aca="false">IF(A16=0,"-",D16+G14)</f>
        <v>145</v>
      </c>
      <c r="J16" s="4" t="s">
        <v>17</v>
      </c>
    </row>
    <row r="17" customFormat="false" ht="13.8" hidden="false" customHeight="false" outlineLevel="0" collapsed="false">
      <c r="B17" s="3" t="n">
        <v>41770</v>
      </c>
      <c r="C17" s="2" t="n">
        <f aca="false">IF(B17=0,"-",B17-A16)</f>
        <v>21</v>
      </c>
      <c r="E17" s="2" t="n">
        <f aca="false">IF(B17=0,"-",E16+D17+C17)</f>
        <v>342</v>
      </c>
      <c r="F17" s="5" t="n">
        <f aca="false">IF(B17=0,"-",E17*0.5)</f>
        <v>171</v>
      </c>
      <c r="H17" s="4" t="str">
        <f aca="false">IF(B17=0,"-",IF(G16&gt;F17,"YES","NO"))</f>
        <v>NO</v>
      </c>
      <c r="I17" s="3" t="n">
        <f aca="false">IF(B17=0,"*",B17+(2*(F17-G16)))</f>
        <v>41822</v>
      </c>
      <c r="K17" s="5" t="n">
        <f aca="false">IF(B17=0,"*",F17-G16)</f>
        <v>26</v>
      </c>
    </row>
    <row r="18" customFormat="false" ht="13.8" hidden="false" customHeight="false" outlineLevel="0" collapsed="false">
      <c r="A18" s="3" t="n">
        <v>41791</v>
      </c>
      <c r="D18" s="2" t="n">
        <f aca="false">IF(A18=0,"-",A18-B17)</f>
        <v>21</v>
      </c>
      <c r="E18" s="2" t="n">
        <f aca="false">IF(A18=0,"-",E17+D18+C18)</f>
        <v>363</v>
      </c>
      <c r="G18" s="2" t="n">
        <f aca="false">IF(A18=0,"-",D18+G16)</f>
        <v>166</v>
      </c>
      <c r="J18" s="4" t="s">
        <v>18</v>
      </c>
    </row>
    <row r="19" customFormat="false" ht="13.8" hidden="false" customHeight="false" outlineLevel="0" collapsed="false">
      <c r="B19" s="3" t="n">
        <v>41819</v>
      </c>
      <c r="C19" s="2" t="n">
        <f aca="false">IF(B19=0,"-",B19-A18)</f>
        <v>28</v>
      </c>
      <c r="E19" s="2" t="n">
        <f aca="false">IF(B19=0,"-",E18+D19+C19)</f>
        <v>391</v>
      </c>
      <c r="F19" s="5" t="n">
        <f aca="false">IF(B19=0,"-",E19*0.5)</f>
        <v>195.5</v>
      </c>
      <c r="H19" s="4" t="str">
        <f aca="false">IF(B19=0,"-",IF(G18&gt;F19,"YES","NO"))</f>
        <v>NO</v>
      </c>
      <c r="I19" s="3" t="n">
        <f aca="false">IF(B19=0,"*",B19+(2*(F19-G18)))</f>
        <v>41878</v>
      </c>
      <c r="K19" s="5" t="n">
        <f aca="false">IF(B19=0,"*",F19-G18)</f>
        <v>29.5</v>
      </c>
    </row>
    <row r="20" customFormat="false" ht="13.8" hidden="false" customHeight="false" outlineLevel="0" collapsed="false">
      <c r="A20" s="3" t="n">
        <v>41834</v>
      </c>
      <c r="D20" s="2" t="n">
        <f aca="false">IF(A20=0,"-",A20-B19)</f>
        <v>15</v>
      </c>
      <c r="E20" s="2" t="n">
        <f aca="false">IF(A20=0,"-",E19+D20+C20)</f>
        <v>406</v>
      </c>
      <c r="G20" s="2" t="n">
        <f aca="false">IF(A20=0,"-",D20+G18)</f>
        <v>181</v>
      </c>
      <c r="J20" s="4" t="s">
        <v>19</v>
      </c>
    </row>
    <row r="21" customFormat="false" ht="13.8" hidden="false" customHeight="false" outlineLevel="0" collapsed="false">
      <c r="B21" s="3" t="n">
        <v>41854</v>
      </c>
      <c r="C21" s="2" t="n">
        <f aca="false">IF(B21=0,"-",B21-A20)</f>
        <v>20</v>
      </c>
      <c r="E21" s="2" t="n">
        <f aca="false">IF(B21=0,"-",E20+D21+C21)</f>
        <v>426</v>
      </c>
      <c r="F21" s="5" t="n">
        <f aca="false">IF(B21=0,"-",E21*0.5)</f>
        <v>213</v>
      </c>
      <c r="H21" s="4" t="str">
        <f aca="false">IF(B21=0,"-",IF(G20&gt;F21,"YES","NO"))</f>
        <v>NO</v>
      </c>
      <c r="I21" s="3" t="n">
        <f aca="false">IF(B21=0,"*",B21+(2*(F21-G20)))</f>
        <v>41918</v>
      </c>
      <c r="K21" s="5" t="n">
        <f aca="false">IF(B21=0,"*",F21-G20)</f>
        <v>32</v>
      </c>
    </row>
    <row r="22" customFormat="false" ht="13.8" hidden="false" customHeight="false" outlineLevel="0" collapsed="false">
      <c r="A22" s="3" t="n">
        <v>41880</v>
      </c>
      <c r="D22" s="2" t="n">
        <f aca="false">IF(A22=0,"-",A22-B21)</f>
        <v>26</v>
      </c>
      <c r="E22" s="2" t="n">
        <f aca="false">IF(A22=0,"-",E21+D22+C22)</f>
        <v>452</v>
      </c>
      <c r="G22" s="2" t="n">
        <f aca="false">IF(A22=0,"-",D22+G20)</f>
        <v>207</v>
      </c>
      <c r="J22" s="4" t="s">
        <v>20</v>
      </c>
    </row>
    <row r="23" customFormat="false" ht="13.8" hidden="false" customHeight="false" outlineLevel="0" collapsed="false">
      <c r="B23" s="3" t="n">
        <v>41907</v>
      </c>
      <c r="C23" s="2" t="n">
        <f aca="false">IF(B23=0,"-",B23-A22)</f>
        <v>27</v>
      </c>
      <c r="E23" s="2" t="n">
        <f aca="false">IF(B23=0,"-",E22+D23+C23)</f>
        <v>479</v>
      </c>
      <c r="F23" s="5" t="n">
        <f aca="false">IF(B23=0,"-",E23*0.5)</f>
        <v>239.5</v>
      </c>
      <c r="H23" s="4" t="str">
        <f aca="false">IF(B23=0,"-",IF(G22&gt;F23,"YES","NO"))</f>
        <v>NO</v>
      </c>
      <c r="I23" s="3" t="n">
        <f aca="false">IF(B23=0,"*",B23+(2*(F23-G22)))</f>
        <v>41972</v>
      </c>
      <c r="K23" s="5" t="n">
        <f aca="false">IF(B23=0,"*",F23-G22)</f>
        <v>32.5</v>
      </c>
    </row>
    <row r="24" customFormat="false" ht="13.8" hidden="false" customHeight="false" outlineLevel="0" collapsed="false">
      <c r="A24" s="3" t="n">
        <v>41927</v>
      </c>
      <c r="D24" s="2" t="n">
        <f aca="false">IF(A24=0,"-",A24-B23)</f>
        <v>20</v>
      </c>
      <c r="E24" s="2" t="n">
        <f aca="false">IF(A24=0,"-",E23+D24+C24)</f>
        <v>499</v>
      </c>
      <c r="G24" s="2" t="n">
        <f aca="false">IF(A24=0,"-",D24+G22)</f>
        <v>227</v>
      </c>
      <c r="J24" s="4" t="s">
        <v>11</v>
      </c>
    </row>
    <row r="25" customFormat="false" ht="13.8" hidden="false" customHeight="false" outlineLevel="0" collapsed="false">
      <c r="B25" s="3" t="n">
        <v>41946</v>
      </c>
      <c r="C25" s="2" t="n">
        <f aca="false">IF(B25=0,"-",B25-A24)</f>
        <v>19</v>
      </c>
      <c r="E25" s="2" t="n">
        <f aca="false">IF(B25=0,"-",E24+D25+C25)</f>
        <v>518</v>
      </c>
      <c r="F25" s="5" t="n">
        <f aca="false">IF(B25=0,"-",E25*0.5)</f>
        <v>259</v>
      </c>
      <c r="H25" s="4" t="str">
        <f aca="false">IF(B25=0,"-",IF(G24&gt;F25,"YES","NO"))</f>
        <v>NO</v>
      </c>
      <c r="I25" s="3" t="n">
        <f aca="false">IF(B25=0,"*",B25+(2*(F25-G24)))</f>
        <v>42010</v>
      </c>
      <c r="K25" s="5" t="n">
        <f aca="false">IF(B25=0,"*",F25-G24)</f>
        <v>32</v>
      </c>
    </row>
    <row r="26" customFormat="false" ht="13.8" hidden="false" customHeight="false" outlineLevel="0" collapsed="false">
      <c r="A26" s="3" t="n">
        <v>41960</v>
      </c>
      <c r="D26" s="2" t="n">
        <f aca="false">IF(A26=0,"-",A26-B25)</f>
        <v>14</v>
      </c>
      <c r="E26" s="2" t="n">
        <f aca="false">IF(A26=0,"-",E25+D26+C26)</f>
        <v>532</v>
      </c>
      <c r="G26" s="2" t="n">
        <f aca="false">IF(A26=0,"-",D26+G24)</f>
        <v>241</v>
      </c>
      <c r="J26" s="4" t="s">
        <v>12</v>
      </c>
    </row>
    <row r="27" customFormat="false" ht="13.8" hidden="false" customHeight="false" outlineLevel="0" collapsed="false">
      <c r="B27" s="3" t="n">
        <v>41986</v>
      </c>
      <c r="C27" s="2" t="n">
        <f aca="false">IF(B27=0,"-",B27-A26)</f>
        <v>26</v>
      </c>
      <c r="E27" s="2" t="n">
        <f aca="false">IF(B27=0,"-",E26+D27+C27)</f>
        <v>558</v>
      </c>
      <c r="F27" s="5" t="n">
        <f aca="false">IF(B27=0,"-",E27*0.5)</f>
        <v>279</v>
      </c>
      <c r="H27" s="4" t="str">
        <f aca="false">IF(B27=0,"-",IF(G26&gt;F27,"YES","NO"))</f>
        <v>NO</v>
      </c>
      <c r="I27" s="3" t="n">
        <f aca="false">IF(B27=0,"*",B27+(2*(F27-G26)))</f>
        <v>42062</v>
      </c>
      <c r="K27" s="5" t="n">
        <f aca="false">IF(B27=0,"*",F27-G26)</f>
        <v>38</v>
      </c>
    </row>
    <row r="28" customFormat="false" ht="13.8" hidden="false" customHeight="false" outlineLevel="0" collapsed="false">
      <c r="A28" s="3" t="n">
        <v>42011</v>
      </c>
      <c r="D28" s="2" t="n">
        <f aca="false">IF(A28=0,"-",A28-B27)</f>
        <v>25</v>
      </c>
      <c r="E28" s="2" t="n">
        <f aca="false">IF(A28=0,"-",E27+D28+C28)</f>
        <v>583</v>
      </c>
      <c r="G28" s="2" t="n">
        <f aca="false">IF(A28=0,"-",D28+G26)</f>
        <v>266</v>
      </c>
    </row>
    <row r="29" customFormat="false" ht="13.8" hidden="false" customHeight="false" outlineLevel="0" collapsed="false">
      <c r="B29" s="3" t="n">
        <v>42029</v>
      </c>
      <c r="C29" s="2" t="n">
        <f aca="false">IF(B29=0,"-",B29-A28)</f>
        <v>18</v>
      </c>
      <c r="E29" s="2" t="n">
        <f aca="false">IF(B29=0,"-",E28+D29+C29)</f>
        <v>601</v>
      </c>
      <c r="F29" s="5" t="n">
        <f aca="false">IF(B29=0,"-",E29*0.5)</f>
        <v>300.5</v>
      </c>
      <c r="H29" s="4" t="str">
        <f aca="false">IF(B29=0,"-",IF(G28&gt;F29,"YES","NO"))</f>
        <v>NO</v>
      </c>
      <c r="I29" s="3" t="n">
        <f aca="false">IF(B29=0,"*",B29+(2*(F29-G28)))</f>
        <v>42098</v>
      </c>
      <c r="K29" s="5" t="n">
        <f aca="false">IF(B29=0,"*",F29-G28)</f>
        <v>34.5</v>
      </c>
    </row>
    <row r="30" customFormat="false" ht="13.8" hidden="false" customHeight="false" outlineLevel="0" collapsed="false">
      <c r="A30" s="3" t="n">
        <v>42048</v>
      </c>
      <c r="D30" s="2" t="n">
        <f aca="false">IF(A30=0,"-",A30-B29)</f>
        <v>19</v>
      </c>
      <c r="E30" s="2" t="n">
        <f aca="false">IF(A30=0,"-",E29+D30+C30)</f>
        <v>620</v>
      </c>
      <c r="G30" s="2" t="n">
        <f aca="false">IF(A30=0,"-",D30+G28)</f>
        <v>285</v>
      </c>
      <c r="J30" s="4" t="s">
        <v>14</v>
      </c>
    </row>
    <row r="31" customFormat="false" ht="13.8" hidden="false" customHeight="false" outlineLevel="0" collapsed="false">
      <c r="B31" s="3" t="n">
        <v>42073</v>
      </c>
      <c r="C31" s="2" t="n">
        <f aca="false">IF(B31=0,"-",B31-A30)</f>
        <v>25</v>
      </c>
      <c r="E31" s="2" t="n">
        <f aca="false">IF(B31=0,"-",E30+D31+C31)</f>
        <v>645</v>
      </c>
      <c r="F31" s="5" t="n">
        <f aca="false">IF(B31=0,"-",E31*0.5)</f>
        <v>322.5</v>
      </c>
      <c r="H31" s="4" t="str">
        <f aca="false">IF(B31=0,"-",IF(G30&gt;F31,"YES","NO"))</f>
        <v>NO</v>
      </c>
      <c r="I31" s="3" t="n">
        <f aca="false">IF(B31=0,"*",B31+(2*(F31-G30)))</f>
        <v>42148</v>
      </c>
      <c r="K31" s="5" t="n">
        <f aca="false">IF(B31=0,"*",F31-G30)</f>
        <v>37.5</v>
      </c>
    </row>
    <row r="32" customFormat="false" ht="13.8" hidden="false" customHeight="false" outlineLevel="0" collapsed="false">
      <c r="A32" s="3" t="n">
        <v>42086</v>
      </c>
      <c r="D32" s="2" t="n">
        <f aca="false">IF(A32=0,"-",A32-B31)</f>
        <v>13</v>
      </c>
      <c r="E32" s="2" t="n">
        <f aca="false">IF(A32=0,"-",E31+D32+C32)</f>
        <v>658</v>
      </c>
      <c r="G32" s="2" t="n">
        <f aca="false">IF(A32=0,"-",D32+G30)</f>
        <v>298</v>
      </c>
      <c r="J32" s="4" t="s">
        <v>21</v>
      </c>
    </row>
    <row r="33" customFormat="false" ht="13.8" hidden="false" customHeight="false" outlineLevel="0" collapsed="false">
      <c r="B33" s="3" t="n">
        <v>42103</v>
      </c>
      <c r="C33" s="2" t="n">
        <f aca="false">IF(B33=0,"-",B33-A32)</f>
        <v>17</v>
      </c>
      <c r="E33" s="2" t="n">
        <f aca="false">IF(B33=0,"-",E32+D33+C33)</f>
        <v>675</v>
      </c>
      <c r="F33" s="5" t="n">
        <f aca="false">IF(B33=0,"-",E33*0.5)</f>
        <v>337.5</v>
      </c>
      <c r="H33" s="4" t="str">
        <f aca="false">IF(B33=0,"-",IF(G32&gt;F33,"YES","NO"))</f>
        <v>NO</v>
      </c>
      <c r="I33" s="3" t="n">
        <f aca="false">IF(B33=0,"*",B33+(2*(F33-G32)))</f>
        <v>42182</v>
      </c>
      <c r="K33" s="5" t="n">
        <f aca="false">IF(B33=0,"*",F33-G32)</f>
        <v>39.5</v>
      </c>
    </row>
    <row r="34" customFormat="false" ht="13.8" hidden="false" customHeight="false" outlineLevel="0" collapsed="false">
      <c r="A34" s="3" t="n">
        <v>42127</v>
      </c>
      <c r="D34" s="2" t="n">
        <f aca="false">IF(A34=0,"-",A34-B33)</f>
        <v>24</v>
      </c>
      <c r="E34" s="2" t="n">
        <f aca="false">IF(A34=0,"-",E33+D34+C34)</f>
        <v>699</v>
      </c>
      <c r="G34" s="2" t="n">
        <f aca="false">IF(A34=0,"-",D34+G32)</f>
        <v>322</v>
      </c>
      <c r="J34" s="4" t="s">
        <v>22</v>
      </c>
    </row>
    <row r="35" customFormat="false" ht="13.8" hidden="false" customHeight="false" outlineLevel="0" collapsed="false">
      <c r="B35" s="3" t="n">
        <v>42151</v>
      </c>
      <c r="C35" s="2" t="n">
        <f aca="false">IF(B35=0,"-",B35-A34)</f>
        <v>24</v>
      </c>
      <c r="E35" s="2" t="n">
        <f aca="false">IF(B35=0,"-",E34+D35+C35)</f>
        <v>723</v>
      </c>
      <c r="F35" s="5" t="n">
        <f aca="false">IF(B35=0,"-",E35*0.5)</f>
        <v>361.5</v>
      </c>
      <c r="H35" s="4" t="str">
        <f aca="false">IF(B35=0,"-",IF(G34&gt;F35,"YES","NO"))</f>
        <v>NO</v>
      </c>
      <c r="I35" s="3" t="n">
        <f aca="false">IF(B35=0,"*",B35+(2*(F35-G34)))</f>
        <v>42230</v>
      </c>
      <c r="K35" s="5" t="n">
        <f aca="false">IF(B35=0,"*",F35-G34)</f>
        <v>39.5</v>
      </c>
    </row>
    <row r="36" customFormat="false" ht="13.8" hidden="false" customHeight="false" outlineLevel="0" collapsed="false">
      <c r="A36" s="3" t="n">
        <v>42169</v>
      </c>
      <c r="D36" s="2" t="n">
        <f aca="false">IF(A36=0,"-",A36-B35)</f>
        <v>18</v>
      </c>
      <c r="E36" s="2" t="n">
        <f aca="false">IF(A36=0,"-",E35+D36+C36)</f>
        <v>741</v>
      </c>
      <c r="G36" s="2" t="n">
        <f aca="false">IF(A36=0,"-",D36+G34)</f>
        <v>340</v>
      </c>
      <c r="J36" s="4" t="s">
        <v>16</v>
      </c>
    </row>
    <row r="37" customFormat="false" ht="13.8" hidden="false" customHeight="false" outlineLevel="0" collapsed="false">
      <c r="B37" s="3" t="n">
        <v>42200</v>
      </c>
      <c r="C37" s="2" t="n">
        <f aca="false">IF(B37=0,"-",B37-A36)</f>
        <v>31</v>
      </c>
      <c r="E37" s="2" t="n">
        <f aca="false">IF(B37=0,"-",E36+D37+C37)</f>
        <v>772</v>
      </c>
      <c r="F37" s="5" t="n">
        <f aca="false">IF(B37=0,"-",E37*0.5)</f>
        <v>386</v>
      </c>
      <c r="H37" s="4" t="str">
        <f aca="false">IF(B37=0,"-",IF(G36&gt;F37,"YES","NO"))</f>
        <v>NO</v>
      </c>
      <c r="I37" s="3" t="n">
        <f aca="false">IF(B37=0,"*",B37+(2*(F37-G36)))</f>
        <v>42292</v>
      </c>
      <c r="K37" s="5" t="n">
        <f aca="false">IF(B37=0,"*",F37-G36)</f>
        <v>46</v>
      </c>
    </row>
    <row r="38" customFormat="false" ht="13.8" hidden="false" customHeight="false" outlineLevel="0" collapsed="false">
      <c r="A38" s="3" t="n">
        <v>42212</v>
      </c>
      <c r="D38" s="2" t="n">
        <f aca="false">IF(A38=0,"-",A38-B37)</f>
        <v>12</v>
      </c>
      <c r="E38" s="2" t="n">
        <f aca="false">IF(A38=0,"-",E37+D38+C38)</f>
        <v>784</v>
      </c>
      <c r="G38" s="2" t="n">
        <f aca="false">IF(A38=0,"-",D38+G36)</f>
        <v>352</v>
      </c>
      <c r="J38" s="4" t="s">
        <v>17</v>
      </c>
    </row>
    <row r="39" customFormat="false" ht="13.8" hidden="false" customHeight="false" outlineLevel="0" collapsed="false">
      <c r="B39" s="3" t="n">
        <v>42235</v>
      </c>
      <c r="C39" s="2" t="n">
        <f aca="false">IF(B39=0,"-",B39-A38)</f>
        <v>23</v>
      </c>
      <c r="E39" s="2" t="n">
        <f aca="false">IF(B39=0,"-",E38+D39+C39)</f>
        <v>807</v>
      </c>
      <c r="F39" s="5" t="n">
        <f aca="false">IF(B39=0,"-",E39*0.5)</f>
        <v>403.5</v>
      </c>
      <c r="H39" s="4" t="str">
        <f aca="false">IF(B39=0,"-",IF(G38&gt;F39,"YES","NO"))</f>
        <v>NO</v>
      </c>
      <c r="I39" s="3" t="n">
        <f aca="false">IF(B39=0,"*",B39+(2*(F39-G38)))</f>
        <v>42338</v>
      </c>
      <c r="K39" s="5" t="n">
        <f aca="false">IF(B39=0,"*",F39-G38)</f>
        <v>51.5</v>
      </c>
    </row>
    <row r="40" customFormat="false" ht="13.8" hidden="false" customHeight="false" outlineLevel="0" collapsed="false">
      <c r="A40" s="3" t="n">
        <v>42258</v>
      </c>
      <c r="D40" s="2" t="n">
        <f aca="false">IF(A40=0,"-",A40-B39)</f>
        <v>23</v>
      </c>
      <c r="E40" s="2" t="n">
        <f aca="false">IF(A40=0,"-",E39+D40+C40)</f>
        <v>830</v>
      </c>
      <c r="G40" s="2" t="n">
        <f aca="false">IF(A40=0,"-",D40+G38)</f>
        <v>375</v>
      </c>
      <c r="J40" s="4" t="s">
        <v>18</v>
      </c>
    </row>
    <row r="41" customFormat="false" ht="13.8" hidden="false" customHeight="false" outlineLevel="0" collapsed="false">
      <c r="B41" s="3" t="n">
        <v>42288</v>
      </c>
      <c r="C41" s="2" t="n">
        <f aca="false">IF(B41=0,"-",B41-A40)</f>
        <v>30</v>
      </c>
      <c r="E41" s="2" t="n">
        <f aca="false">IF(B41=0,"-",E40+D41+C41)</f>
        <v>860</v>
      </c>
      <c r="F41" s="5" t="n">
        <f aca="false">IF(B41=0,"-",E41*0.5)</f>
        <v>430</v>
      </c>
      <c r="H41" s="4" t="str">
        <f aca="false">IF(B41=0,"-",IF(G40&gt;F41,"YES","NO"))</f>
        <v>NO</v>
      </c>
      <c r="I41" s="3" t="n">
        <f aca="false">IF(B41=0,"*",B41+(2*(F41-G40)))</f>
        <v>42398</v>
      </c>
      <c r="K41" s="5" t="n">
        <f aca="false">IF(B41=0,"*",F41-G40)</f>
        <v>55</v>
      </c>
    </row>
    <row r="42" customFormat="false" ht="13.8" hidden="false" customHeight="false" outlineLevel="0" collapsed="false">
      <c r="A42" s="3" t="n">
        <v>42305</v>
      </c>
      <c r="D42" s="2" t="n">
        <f aca="false">IF(A42=0,"-",A42-B41)</f>
        <v>17</v>
      </c>
      <c r="E42" s="2" t="n">
        <f aca="false">IF(A42=0,"-",E41+D42+C42)</f>
        <v>877</v>
      </c>
      <c r="G42" s="2" t="n">
        <f aca="false">IF(A42=0,"-",D42+G40)</f>
        <v>392</v>
      </c>
      <c r="J42" s="4" t="s">
        <v>19</v>
      </c>
    </row>
    <row r="43" customFormat="false" ht="13.8" hidden="false" customHeight="false" outlineLevel="0" collapsed="false">
      <c r="B43" s="3" t="n">
        <v>42327</v>
      </c>
      <c r="C43" s="2" t="n">
        <f aca="false">IF(B43=0,"-",B43-A42)</f>
        <v>22</v>
      </c>
      <c r="E43" s="2" t="n">
        <f aca="false">IF(B43=0,"-",E42+D43+C43)</f>
        <v>899</v>
      </c>
      <c r="F43" s="5" t="n">
        <f aca="false">IF(B43=0,"-",E43*0.5)</f>
        <v>449.5</v>
      </c>
      <c r="H43" s="4" t="str">
        <f aca="false">IF(B43=0,"-",IF(G42&gt;F43,"YES","NO"))</f>
        <v>NO</v>
      </c>
      <c r="I43" s="3" t="n">
        <f aca="false">IF(B43=0,"*",B43+(2*(F43-G42)))</f>
        <v>42442</v>
      </c>
      <c r="K43" s="5" t="n">
        <f aca="false">IF(B43=0,"*",F43-G42)</f>
        <v>57.5</v>
      </c>
    </row>
    <row r="44" customFormat="false" ht="13.8" hidden="false" customHeight="false" outlineLevel="0" collapsed="false">
      <c r="A44" s="3" t="n">
        <v>42355</v>
      </c>
      <c r="D44" s="2" t="n">
        <f aca="false">IF(A44=0,"-",A44-B43)</f>
        <v>28</v>
      </c>
      <c r="E44" s="2" t="n">
        <f aca="false">IF(A44=0,"-",E43+D44+C44)</f>
        <v>927</v>
      </c>
      <c r="G44" s="2" t="n">
        <f aca="false">IF(A44=0,"-",D44+G42)</f>
        <v>420</v>
      </c>
      <c r="J44" s="4" t="s">
        <v>20</v>
      </c>
    </row>
    <row r="45" customFormat="false" ht="13.8" hidden="false" customHeight="false" outlineLevel="0" collapsed="false">
      <c r="B45" s="3" t="n">
        <v>42384</v>
      </c>
      <c r="C45" s="2" t="n">
        <f aca="false">IF(B45=0,"-",B45-A44)</f>
        <v>29</v>
      </c>
      <c r="E45" s="2" t="n">
        <f aca="false">IF(B45=0,"-",E44+D45+C45)</f>
        <v>956</v>
      </c>
      <c r="F45" s="5" t="n">
        <f aca="false">IF(B45=0,"-",E45*0.5)</f>
        <v>478</v>
      </c>
      <c r="H45" s="4" t="str">
        <f aca="false">IF(B45=0,"-",IF(G44&gt;F45,"YES","NO"))</f>
        <v>NO</v>
      </c>
      <c r="I45" s="3" t="n">
        <f aca="false">IF(B45=0,"*",B45+(2*(F45-G44)))</f>
        <v>42500</v>
      </c>
      <c r="K45" s="5" t="n">
        <f aca="false">IF(B45=0,"*",F45-G44)</f>
        <v>58</v>
      </c>
    </row>
    <row r="46" customFormat="false" ht="13.8" hidden="false" customHeight="false" outlineLevel="0" collapsed="false">
      <c r="A46" s="3" t="n">
        <v>42406</v>
      </c>
      <c r="D46" s="2" t="n">
        <f aca="false">IF(A46=0,"-",A46-B45)</f>
        <v>22</v>
      </c>
      <c r="E46" s="2" t="n">
        <f aca="false">IF(A46=0,"-",E45+D46+C46)</f>
        <v>978</v>
      </c>
      <c r="G46" s="2" t="n">
        <f aca="false">IF(A46=0,"-",D46+G44)</f>
        <v>442</v>
      </c>
    </row>
    <row r="47" customFormat="false" ht="13.8" hidden="false" customHeight="false" outlineLevel="0" collapsed="false">
      <c r="B47" s="3" t="n">
        <v>42427</v>
      </c>
      <c r="C47" s="2" t="n">
        <f aca="false">IF(B47=0,"-",B47-A46)</f>
        <v>21</v>
      </c>
      <c r="E47" s="2" t="n">
        <f aca="false">IF(B47=0,"-",E46+D47+C47)</f>
        <v>999</v>
      </c>
      <c r="F47" s="5" t="n">
        <f aca="false">IF(B47=0,"-",E47*0.5)</f>
        <v>499.5</v>
      </c>
      <c r="H47" s="4" t="str">
        <f aca="false">IF(B47=0,"-",IF(G46&gt;F47,"YES","NO"))</f>
        <v>NO</v>
      </c>
      <c r="I47" s="3" t="n">
        <f aca="false">IF(B47=0,"*",B47+(2*(F47-G46)))</f>
        <v>42542</v>
      </c>
      <c r="K47" s="5" t="n">
        <f aca="false">IF(B47=0,"*",F47-G46)</f>
        <v>57.5</v>
      </c>
    </row>
    <row r="48" customFormat="false" ht="13.8" hidden="false" customHeight="false" outlineLevel="0" collapsed="false">
      <c r="A48" s="3" t="n">
        <v>42443</v>
      </c>
      <c r="D48" s="2" t="n">
        <f aca="false">IF(A48=0,"-",A48-B47)</f>
        <v>16</v>
      </c>
      <c r="E48" s="2" t="n">
        <f aca="false">IF(A48=0,"-",E47+D48+C48)</f>
        <v>1015</v>
      </c>
      <c r="G48" s="2" t="n">
        <f aca="false">IF(A48=0,"-",D48+G46)</f>
        <v>458</v>
      </c>
      <c r="J48" s="4" t="s">
        <v>23</v>
      </c>
    </row>
    <row r="49" customFormat="false" ht="13.8" hidden="false" customHeight="false" outlineLevel="0" collapsed="false">
      <c r="B49" s="3" t="n">
        <v>42471</v>
      </c>
      <c r="C49" s="2" t="n">
        <f aca="false">IF(B49=0,"-",B49-A48)</f>
        <v>28</v>
      </c>
      <c r="E49" s="2" t="n">
        <f aca="false">IF(B49=0,"-",E48+D49+C49)</f>
        <v>1043</v>
      </c>
      <c r="F49" s="5" t="n">
        <f aca="false">IF(B49=0,"-",E49*0.5)</f>
        <v>521.5</v>
      </c>
      <c r="H49" s="4" t="str">
        <f aca="false">IF(B49=0,"-",IF(G48&gt;F49,"YES","NO"))</f>
        <v>NO</v>
      </c>
      <c r="I49" s="3" t="n">
        <f aca="false">IF(B49=0,"*",B49+(2*(F49-G48)))</f>
        <v>42598</v>
      </c>
      <c r="K49" s="5" t="n">
        <f aca="false">IF(B49=0,"*",F49-G48)</f>
        <v>63.5</v>
      </c>
    </row>
    <row r="50" customFormat="false" ht="13.8" hidden="false" customHeight="false" outlineLevel="0" collapsed="false">
      <c r="A50" s="3" t="n">
        <v>42498</v>
      </c>
      <c r="D50" s="2" t="n">
        <f aca="false">IF(A50=0,"-",A50-B49)</f>
        <v>27</v>
      </c>
      <c r="E50" s="2" t="n">
        <f aca="false">IF(A50=0,"-",E49+D50+C50)</f>
        <v>1070</v>
      </c>
      <c r="G50" s="2" t="n">
        <f aca="false">IF(A50=0,"-",D50+G48)</f>
        <v>485</v>
      </c>
      <c r="J50" s="4" t="s">
        <v>13</v>
      </c>
    </row>
    <row r="51" customFormat="false" ht="13.8" hidden="false" customHeight="false" outlineLevel="0" collapsed="false">
      <c r="B51" s="3" t="n">
        <v>42518</v>
      </c>
      <c r="C51" s="2" t="n">
        <f aca="false">IF(B51=0,"-",B51-A50)</f>
        <v>20</v>
      </c>
      <c r="E51" s="2" t="n">
        <f aca="false">IF(B51=0,"-",E50+D51+C51)</f>
        <v>1090</v>
      </c>
      <c r="F51" s="5" t="n">
        <f aca="false">IF(B51=0,"-",E51*0.5)</f>
        <v>545</v>
      </c>
      <c r="H51" s="4" t="str">
        <f aca="false">IF(B51=0,"-",IF(G50&gt;F51,"YES","NO"))</f>
        <v>NO</v>
      </c>
      <c r="I51" s="3" t="n">
        <f aca="false">IF(B51=0,"*",B51+(2*(F51-G50)))</f>
        <v>42638</v>
      </c>
      <c r="K51" s="5" t="n">
        <f aca="false">IF(B51=0,"*",F51-G50)</f>
        <v>60</v>
      </c>
    </row>
    <row r="52" customFormat="false" ht="13.8" hidden="false" customHeight="false" outlineLevel="0" collapsed="false">
      <c r="A52" s="3" t="n">
        <v>42539</v>
      </c>
      <c r="D52" s="2" t="n">
        <f aca="false">IF(A52=0,"-",A52-B51)</f>
        <v>21</v>
      </c>
      <c r="E52" s="2" t="n">
        <f aca="false">IF(A52=0,"-",E51+D52+C52)</f>
        <v>1111</v>
      </c>
      <c r="G52" s="2" t="n">
        <f aca="false">IF(A52=0,"-",D52+G50)</f>
        <v>506</v>
      </c>
      <c r="J52" s="4" t="s">
        <v>14</v>
      </c>
    </row>
    <row r="53" customFormat="false" ht="13.8" hidden="false" customHeight="false" outlineLevel="0" collapsed="false">
      <c r="B53" s="3" t="n">
        <v>42566</v>
      </c>
      <c r="C53" s="2" t="n">
        <f aca="false">IF(B53=0,"-",B53-A52)</f>
        <v>27</v>
      </c>
      <c r="E53" s="2" t="n">
        <f aca="false">IF(B53=0,"-",E52+D53+C53)</f>
        <v>1138</v>
      </c>
      <c r="F53" s="5" t="n">
        <f aca="false">IF(B53=0,"-",E53*0.5)</f>
        <v>569</v>
      </c>
      <c r="H53" s="4" t="str">
        <f aca="false">IF(B53=0,"-",IF(G52&gt;F53,"YES","NO"))</f>
        <v>NO</v>
      </c>
      <c r="I53" s="3" t="n">
        <f aca="false">IF(B53=0,"*",B53+(2*(F53-G52)))</f>
        <v>42692</v>
      </c>
      <c r="K53" s="5" t="n">
        <f aca="false">IF(B53=0,"*",F53-G52)</f>
        <v>63</v>
      </c>
    </row>
    <row r="54" customFormat="false" ht="13.8" hidden="false" customHeight="false" outlineLevel="0" collapsed="false">
      <c r="A54" s="3" t="n">
        <v>42581</v>
      </c>
      <c r="D54" s="2" t="n">
        <f aca="false">IF(A54=0,"-",A54-B53)</f>
        <v>15</v>
      </c>
      <c r="E54" s="2" t="n">
        <f aca="false">IF(A54=0,"-",E53+D54+C54)</f>
        <v>1153</v>
      </c>
      <c r="G54" s="2" t="n">
        <f aca="false">IF(A54=0,"-",D54+G52)</f>
        <v>521</v>
      </c>
      <c r="J54" s="4" t="s">
        <v>21</v>
      </c>
    </row>
    <row r="55" customFormat="false" ht="13.8" hidden="false" customHeight="false" outlineLevel="0" collapsed="false">
      <c r="B55" s="3" t="n">
        <v>42600</v>
      </c>
      <c r="C55" s="2" t="n">
        <f aca="false">IF(B55=0,"-",B55-A54)</f>
        <v>19</v>
      </c>
      <c r="E55" s="2" t="n">
        <f aca="false">IF(B55=0,"-",E54+D55+C55)</f>
        <v>1172</v>
      </c>
      <c r="F55" s="5" t="n">
        <f aca="false">IF(B55=0,"-",E55*0.5)</f>
        <v>586</v>
      </c>
      <c r="H55" s="4" t="str">
        <f aca="false">IF(B55=0,"-",IF(G54&gt;F55,"YES","NO"))</f>
        <v>NO</v>
      </c>
      <c r="I55" s="3" t="n">
        <f aca="false">IF(B55=0,"*",B55+(2*(F55-G54)))</f>
        <v>42730</v>
      </c>
      <c r="K55" s="5" t="n">
        <f aca="false">IF(B55=0,"*",F55-G54)</f>
        <v>65</v>
      </c>
    </row>
    <row r="56" customFormat="false" ht="13.8" hidden="false" customHeight="false" outlineLevel="0" collapsed="false">
      <c r="A56" s="3" t="n">
        <v>42626</v>
      </c>
      <c r="D56" s="2" t="n">
        <f aca="false">IF(A56=0,"-",A56-B55)</f>
        <v>26</v>
      </c>
      <c r="E56" s="2" t="n">
        <f aca="false">IF(A56=0,"-",E55+D56+C56)</f>
        <v>1198</v>
      </c>
      <c r="G56" s="2" t="n">
        <f aca="false">IF(A56=0,"-",D56+G54)</f>
        <v>547</v>
      </c>
      <c r="J56" s="4" t="s">
        <v>22</v>
      </c>
    </row>
    <row r="57" customFormat="false" ht="13.8" hidden="false" customHeight="false" outlineLevel="0" collapsed="false">
      <c r="B57" s="3" t="n">
        <v>42652</v>
      </c>
      <c r="C57" s="2" t="n">
        <f aca="false">IF(B57=0,"-",B57-A56)</f>
        <v>26</v>
      </c>
      <c r="E57" s="2" t="n">
        <f aca="false">IF(B57=0,"-",E56+D57+C57)</f>
        <v>1224</v>
      </c>
      <c r="F57" s="5" t="n">
        <f aca="false">IF(B57=0,"-",E57*0.5)</f>
        <v>612</v>
      </c>
      <c r="H57" s="4" t="str">
        <f aca="false">IF(B57=0,"-",IF(G56&gt;F57,"YES","NO"))</f>
        <v>NO</v>
      </c>
      <c r="I57" s="3" t="n">
        <f aca="false">IF(B57=0,"*",B57+(2*(F57-G56)))</f>
        <v>42782</v>
      </c>
      <c r="K57" s="5" t="n">
        <f aca="false">IF(B57=0,"*",F57-G56)</f>
        <v>65</v>
      </c>
    </row>
    <row r="58" customFormat="false" ht="13.8" hidden="false" customHeight="false" outlineLevel="0" collapsed="false">
      <c r="A58" s="3" t="n">
        <v>42672</v>
      </c>
      <c r="D58" s="2" t="n">
        <f aca="false">IF(A58=0,"-",A58-B57)</f>
        <v>20</v>
      </c>
      <c r="E58" s="2" t="n">
        <f aca="false">IF(A58=0,"-",E57+D58+C58)</f>
        <v>1244</v>
      </c>
      <c r="G58" s="2" t="n">
        <f aca="false">IF(A58=0,"-",D58+G56)</f>
        <v>567</v>
      </c>
      <c r="J58" s="4" t="s">
        <v>16</v>
      </c>
    </row>
    <row r="59" customFormat="false" ht="13.8" hidden="false" customHeight="false" outlineLevel="0" collapsed="false">
      <c r="B59" s="3" t="n">
        <v>42690</v>
      </c>
      <c r="C59" s="2" t="n">
        <f aca="false">IF(B59=0,"-",B59-A58)</f>
        <v>18</v>
      </c>
      <c r="E59" s="2" t="n">
        <f aca="false">IF(B59=0,"-",E58+D59+C59)</f>
        <v>1262</v>
      </c>
      <c r="F59" s="5" t="n">
        <f aca="false">IF(B59=0,"-",E59*0.5)</f>
        <v>631</v>
      </c>
      <c r="H59" s="4" t="str">
        <f aca="false">IF(B59=0,"-",IF(G58&gt;F59,"YES","NO"))</f>
        <v>NO</v>
      </c>
      <c r="I59" s="3" t="n">
        <f aca="false">IF(B59=0,"*",B59+(2*(F59-G58)))</f>
        <v>42818</v>
      </c>
      <c r="K59" s="5" t="n">
        <f aca="false">IF(B59=0,"*",F59-G58)</f>
        <v>64</v>
      </c>
    </row>
    <row r="60" customFormat="false" ht="13.8" hidden="false" customHeight="false" outlineLevel="0" collapsed="false">
      <c r="A60" s="3" t="n">
        <v>42704</v>
      </c>
      <c r="D60" s="2" t="n">
        <f aca="false">IF(A60=0,"-",A60-B59)</f>
        <v>14</v>
      </c>
      <c r="E60" s="2" t="n">
        <f aca="false">IF(A60=0,"-",E59+D60+C60)</f>
        <v>1276</v>
      </c>
      <c r="G60" s="2" t="n">
        <f aca="false">IF(A60=0,"-",D60+G58)</f>
        <v>581</v>
      </c>
      <c r="J60" s="4" t="s">
        <v>17</v>
      </c>
    </row>
    <row r="61" customFormat="false" ht="13.8" hidden="false" customHeight="false" outlineLevel="0" collapsed="false">
      <c r="B61" s="3" t="n">
        <v>42729</v>
      </c>
      <c r="C61" s="2" t="n">
        <f aca="false">IF(B61=0,"-",B61-A60)</f>
        <v>25</v>
      </c>
      <c r="E61" s="2" t="n">
        <f aca="false">IF(B61=0,"-",E60+D61+C61)</f>
        <v>1301</v>
      </c>
      <c r="F61" s="5" t="n">
        <f aca="false">IF(B61=0,"-",E61*0.5)</f>
        <v>650.5</v>
      </c>
      <c r="H61" s="4" t="str">
        <f aca="false">IF(B61=0,"-",IF(G60&gt;F61,"YES","NO"))</f>
        <v>NO</v>
      </c>
      <c r="I61" s="3" t="n">
        <f aca="false">IF(B61=0,"*",B61+(2*(F61-G60)))</f>
        <v>42868</v>
      </c>
      <c r="K61" s="5" t="n">
        <f aca="false">IF(B61=0,"*",F61-G60)</f>
        <v>69.5</v>
      </c>
    </row>
    <row r="62" customFormat="false" ht="13.8" hidden="false" customHeight="false" outlineLevel="0" collapsed="false">
      <c r="A62" s="3" t="n">
        <v>42754</v>
      </c>
      <c r="D62" s="2" t="n">
        <f aca="false">IF(A62=0,"-",A62-B61)</f>
        <v>25</v>
      </c>
      <c r="E62" s="2" t="n">
        <f aca="false">IF(A62=0,"-",E61+D62+C62)</f>
        <v>1326</v>
      </c>
      <c r="G62" s="2" t="n">
        <f aca="false">IF(A62=0,"-",D62+G60)</f>
        <v>606</v>
      </c>
      <c r="J62" s="4" t="s">
        <v>18</v>
      </c>
    </row>
    <row r="63" customFormat="false" ht="13.8" hidden="false" customHeight="false" outlineLevel="0" collapsed="false">
      <c r="B63" s="3" t="n">
        <v>42771</v>
      </c>
      <c r="C63" s="2" t="n">
        <f aca="false">IF(B63=0,"-",B63-A62)</f>
        <v>17</v>
      </c>
      <c r="E63" s="2" t="n">
        <f aca="false">IF(B63=0,"-",E62+D63+C63)</f>
        <v>1343</v>
      </c>
      <c r="F63" s="5" t="n">
        <f aca="false">IF(B63=0,"-",E63*0.5)</f>
        <v>671.5</v>
      </c>
      <c r="H63" s="4" t="str">
        <f aca="false">IF(B63=0,"-",IF(G62&gt;F63,"YES","NO"))</f>
        <v>NO</v>
      </c>
      <c r="I63" s="3" t="n">
        <f aca="false">IF(B63=0,"*",B63+(2*(F63-G62)))</f>
        <v>42902</v>
      </c>
      <c r="K63" s="5" t="n">
        <f aca="false">IF(B63=0,"*",F63-G62)</f>
        <v>65.5</v>
      </c>
    </row>
    <row r="64" customFormat="false" ht="13.8" hidden="false" customHeight="false" outlineLevel="0" collapsed="false">
      <c r="A64" s="3" t="n">
        <v>42790</v>
      </c>
      <c r="D64" s="2" t="n">
        <f aca="false">IF(A64=0,"-",A64-B63)</f>
        <v>19</v>
      </c>
      <c r="E64" s="2" t="n">
        <f aca="false">IF(A64=0,"-",E63+D64+C64)</f>
        <v>1362</v>
      </c>
      <c r="G64" s="2" t="n">
        <f aca="false">IF(A64=0,"-",D64+G62)</f>
        <v>625</v>
      </c>
    </row>
    <row r="65" customFormat="false" ht="13.8" hidden="false" customHeight="false" outlineLevel="0" collapsed="false">
      <c r="B65" s="3" t="n">
        <v>42814</v>
      </c>
      <c r="C65" s="2" t="n">
        <f aca="false">IF(B65=0,"-",B65-A64)</f>
        <v>24</v>
      </c>
      <c r="E65" s="2" t="n">
        <f aca="false">IF(B65=0,"-",E64+D65+C65)</f>
        <v>1386</v>
      </c>
      <c r="F65" s="5" t="n">
        <f aca="false">IF(B65=0,"-",E65*0.5)</f>
        <v>693</v>
      </c>
      <c r="H65" s="4" t="str">
        <f aca="false">IF(B65=0,"-",IF(G64&gt;F65,"YES","NO"))</f>
        <v>NO</v>
      </c>
      <c r="I65" s="3" t="n">
        <f aca="false">IF(B65=0,"*",B65+(2*(F65-G64)))</f>
        <v>42950</v>
      </c>
      <c r="K65" s="5" t="n">
        <f aca="false">IF(B65=0,"*",F65-G64)</f>
        <v>68</v>
      </c>
    </row>
    <row r="66" customFormat="false" ht="13.8" hidden="false" customHeight="false" outlineLevel="0" collapsed="false">
      <c r="A66" s="3" t="n">
        <v>42827</v>
      </c>
      <c r="D66" s="2" t="n">
        <f aca="false">IF(A66=0,"-",A66-B65)</f>
        <v>13</v>
      </c>
      <c r="E66" s="2" t="n">
        <f aca="false">IF(A66=0,"-",E65+D66+C66)</f>
        <v>1399</v>
      </c>
      <c r="G66" s="2" t="n">
        <f aca="false">IF(A66=0,"-",D66+G64)</f>
        <v>638</v>
      </c>
      <c r="J66" s="4" t="s">
        <v>20</v>
      </c>
    </row>
    <row r="67" customFormat="false" ht="13.8" hidden="false" customHeight="false" outlineLevel="0" collapsed="false">
      <c r="B67" s="3" t="n">
        <v>42858</v>
      </c>
      <c r="C67" s="2" t="n">
        <f aca="false">IF(B67=0,"-",B67-A66)</f>
        <v>31</v>
      </c>
      <c r="E67" s="2" t="n">
        <f aca="false">IF(B67=0,"-",E66+D67+C67)</f>
        <v>1430</v>
      </c>
      <c r="F67" s="5" t="n">
        <f aca="false">IF(B67=0,"-",E67*0.5)</f>
        <v>715</v>
      </c>
      <c r="H67" s="4" t="str">
        <f aca="false">IF(B67=0,"-",IF(G66&gt;F67,"YES","NO"))</f>
        <v>NO</v>
      </c>
      <c r="I67" s="3" t="n">
        <f aca="false">IF(B67=0,"*",B67+(2*(F67-G66)))</f>
        <v>43012</v>
      </c>
      <c r="K67" s="5" t="n">
        <f aca="false">IF(B67=0,"*",F67-G66)</f>
        <v>77</v>
      </c>
    </row>
    <row r="68" customFormat="false" ht="13.8" hidden="false" customHeight="false" outlineLevel="0" collapsed="false">
      <c r="A68" s="3" t="n">
        <v>42882</v>
      </c>
      <c r="D68" s="2" t="n">
        <f aca="false">IF(A68=0,"-",A68-B67)</f>
        <v>24</v>
      </c>
      <c r="E68" s="2" t="n">
        <f aca="false">IF(A68=0,"-",E67+D68+C68)</f>
        <v>1454</v>
      </c>
      <c r="G68" s="2" t="n">
        <f aca="false">IF(A68=0,"-",D68+G66)</f>
        <v>662</v>
      </c>
      <c r="J68" s="4" t="s">
        <v>11</v>
      </c>
    </row>
    <row r="69" customFormat="false" ht="13.8" hidden="false" customHeight="false" outlineLevel="0" collapsed="false">
      <c r="B69" s="3" t="n">
        <v>42905</v>
      </c>
      <c r="C69" s="2" t="n">
        <f aca="false">IF(B69=0,"-",B69-A68)</f>
        <v>23</v>
      </c>
      <c r="E69" s="2" t="n">
        <f aca="false">IF(B69=0,"-",E68+D69+C69)</f>
        <v>1477</v>
      </c>
      <c r="F69" s="5" t="n">
        <f aca="false">IF(B69=0,"-",E69*0.5)</f>
        <v>738.5</v>
      </c>
      <c r="H69" s="4" t="str">
        <f aca="false">IF(B69=0,"-",IF(G68&gt;F69,"YES","NO"))</f>
        <v>NO</v>
      </c>
      <c r="I69" s="3" t="n">
        <f aca="false">IF(B69=0,"*",B69+(2*(F69-G68)))</f>
        <v>43058</v>
      </c>
      <c r="K69" s="5" t="n">
        <f aca="false">IF(B69=0,"*",F69-G68)</f>
        <v>76.5</v>
      </c>
    </row>
    <row r="70" customFormat="false" ht="13.8" hidden="false" customHeight="false" outlineLevel="0" collapsed="false">
      <c r="A70" s="3" t="n">
        <v>42923</v>
      </c>
      <c r="D70" s="2" t="n">
        <f aca="false">IF(A70=0,"-",A70-B69)</f>
        <v>18</v>
      </c>
      <c r="E70" s="2" t="n">
        <f aca="false">IF(A70=0,"-",E69+D70+C70)</f>
        <v>1495</v>
      </c>
      <c r="G70" s="2" t="n">
        <f aca="false">IF(A70=0,"-",D70+G68)</f>
        <v>680</v>
      </c>
      <c r="J70" s="4" t="s">
        <v>12</v>
      </c>
    </row>
    <row r="71" customFormat="false" ht="13.8" hidden="false" customHeight="false" outlineLevel="0" collapsed="false">
      <c r="B71" s="3" t="n">
        <v>42953</v>
      </c>
      <c r="C71" s="2" t="n">
        <f aca="false">IF(B71=0,"-",B71-A70)</f>
        <v>30</v>
      </c>
      <c r="E71" s="2" t="n">
        <f aca="false">IF(B71=0,"-",E70+D71+C71)</f>
        <v>1525</v>
      </c>
      <c r="F71" s="5" t="n">
        <f aca="false">IF(B71=0,"-",E71*0.5)</f>
        <v>762.5</v>
      </c>
      <c r="H71" s="4" t="str">
        <f aca="false">IF(B71=0,"-",IF(G70&gt;F71,"YES","NO"))</f>
        <v>NO</v>
      </c>
      <c r="I71" s="3" t="n">
        <f aca="false">IF(B71=0,"*",B71+(2*(F71-G70)))</f>
        <v>43118</v>
      </c>
      <c r="K71" s="5" t="n">
        <f aca="false">IF(B71=0,"*",F71-G70)</f>
        <v>82.5</v>
      </c>
    </row>
    <row r="72" customFormat="false" ht="13.8" hidden="false" customHeight="false" outlineLevel="0" collapsed="false">
      <c r="A72" s="3" t="n">
        <v>42965</v>
      </c>
      <c r="D72" s="2" t="n">
        <f aca="false">IF(A72=0,"-",A72-B71)</f>
        <v>12</v>
      </c>
      <c r="E72" s="2" t="n">
        <f aca="false">IF(A72=0,"-",E71+D72+C72)</f>
        <v>1537</v>
      </c>
      <c r="G72" s="2" t="n">
        <f aca="false">IF(A72=0,"-",D72+G70)</f>
        <v>692</v>
      </c>
      <c r="J72" s="4" t="s">
        <v>13</v>
      </c>
    </row>
    <row r="73" customFormat="false" ht="13.8" hidden="false" customHeight="false" outlineLevel="0" collapsed="false">
      <c r="B73" s="3" t="n">
        <v>42987</v>
      </c>
      <c r="C73" s="2" t="n">
        <f aca="false">IF(B73=0,"-",B73-A72)</f>
        <v>22</v>
      </c>
      <c r="E73" s="2" t="n">
        <f aca="false">IF(B73=0,"-",E72+D73+C73)</f>
        <v>1559</v>
      </c>
      <c r="F73" s="5" t="n">
        <f aca="false">IF(B73=0,"-",E73*0.5)</f>
        <v>779.5</v>
      </c>
      <c r="H73" s="4" t="str">
        <f aca="false">IF(B73=0,"-",IF(G72&gt;F73,"YES","NO"))</f>
        <v>NO</v>
      </c>
      <c r="I73" s="3" t="n">
        <f aca="false">IF(B73=0,"*",B73+(2*(F73-G72)))</f>
        <v>43162</v>
      </c>
      <c r="K73" s="5" t="n">
        <f aca="false">IF(B73=0,"*",F73-G72)</f>
        <v>87.5</v>
      </c>
    </row>
    <row r="74" customFormat="false" ht="13.8" hidden="false" customHeight="false" outlineLevel="0" collapsed="false">
      <c r="A74" s="3" t="n">
        <v>43010</v>
      </c>
      <c r="D74" s="2" t="n">
        <f aca="false">IF(A74=0,"-",A74-B73)</f>
        <v>23</v>
      </c>
      <c r="E74" s="2" t="n">
        <f aca="false">IF(A74=0,"-",E73+D74+C74)</f>
        <v>1582</v>
      </c>
      <c r="G74" s="2" t="n">
        <f aca="false">IF(A74=0,"-",D74+G72)</f>
        <v>715</v>
      </c>
      <c r="J74" s="4" t="s">
        <v>14</v>
      </c>
    </row>
    <row r="75" customFormat="false" ht="13.8" hidden="false" customHeight="false" outlineLevel="0" collapsed="false">
      <c r="B75" s="3" t="n">
        <v>43039</v>
      </c>
      <c r="C75" s="2" t="n">
        <f aca="false">IF(B75=0,"-",B75-A74)</f>
        <v>29</v>
      </c>
      <c r="E75" s="2" t="n">
        <f aca="false">IF(B75=0,"-",E74+D75+C75)</f>
        <v>1611</v>
      </c>
      <c r="F75" s="5" t="n">
        <f aca="false">IF(B75=0,"-",E75*0.5)</f>
        <v>805.5</v>
      </c>
      <c r="H75" s="4" t="str">
        <f aca="false">IF(B75=0,"-",IF(G74&gt;F75,"YES","NO"))</f>
        <v>NO</v>
      </c>
      <c r="I75" s="3" t="n">
        <f aca="false">IF(B75=0,"*",B75+(2*(F75-G74)))</f>
        <v>43220</v>
      </c>
      <c r="K75" s="5" t="n">
        <f aca="false">IF(B75=0,"*",F75-G74)</f>
        <v>90.5</v>
      </c>
    </row>
    <row r="76" customFormat="false" ht="13.8" hidden="false" customHeight="false" outlineLevel="0" collapsed="false">
      <c r="A76" s="3" t="n">
        <v>43056</v>
      </c>
      <c r="D76" s="2" t="n">
        <f aca="false">IF(A76=0,"-",A76-B75)</f>
        <v>17</v>
      </c>
      <c r="E76" s="2" t="n">
        <f aca="false">IF(A76=0,"-",E75+D76+C76)</f>
        <v>1628</v>
      </c>
      <c r="G76" s="2" t="n">
        <f aca="false">IF(A76=0,"-",D76+G74)</f>
        <v>732</v>
      </c>
      <c r="J76" s="4" t="s">
        <v>21</v>
      </c>
    </row>
    <row r="77" customFormat="false" ht="13.8" hidden="false" customHeight="false" outlineLevel="0" collapsed="false">
      <c r="B77" s="3" t="n">
        <v>43077</v>
      </c>
      <c r="C77" s="2" t="n">
        <f aca="false">IF(B77=0,"-",B77-A76)</f>
        <v>21</v>
      </c>
      <c r="E77" s="2" t="n">
        <f aca="false">IF(B77=0,"-",E76+D77+C77)</f>
        <v>1649</v>
      </c>
      <c r="F77" s="5" t="n">
        <f aca="false">IF(B77=0,"-",E77*0.5)</f>
        <v>824.5</v>
      </c>
      <c r="H77" s="4" t="str">
        <f aca="false">IF(B77=0,"-",IF(G76&gt;F77,"YES","NO"))</f>
        <v>NO</v>
      </c>
      <c r="I77" s="3" t="n">
        <f aca="false">IF(B77=0,"*",B77+(2*(F77-G76)))</f>
        <v>43262</v>
      </c>
      <c r="K77" s="5" t="n">
        <f aca="false">IF(B77=0,"*",F77-G76)</f>
        <v>92.5</v>
      </c>
    </row>
    <row r="78" customFormat="false" ht="13.8" hidden="false" customHeight="false" outlineLevel="0" collapsed="false">
      <c r="A78" s="3" t="n">
        <v>43105</v>
      </c>
      <c r="D78" s="2" t="n">
        <f aca="false">IF(A78=0,"-",A78-B77)</f>
        <v>28</v>
      </c>
      <c r="E78" s="2" t="n">
        <f aca="false">IF(A78=0,"-",E77+D78+C78)</f>
        <v>1677</v>
      </c>
      <c r="G78" s="2" t="n">
        <f aca="false">IF(A78=0,"-",D78+G76)</f>
        <v>760</v>
      </c>
      <c r="J78" s="4" t="s">
        <v>22</v>
      </c>
    </row>
    <row r="79" customFormat="false" ht="13.8" hidden="false" customHeight="false" outlineLevel="0" collapsed="false">
      <c r="B79" s="3" t="n">
        <v>43133</v>
      </c>
      <c r="C79" s="2" t="n">
        <f aca="false">IF(B79=0,"-",B79-A78)</f>
        <v>28</v>
      </c>
      <c r="E79" s="2" t="n">
        <f aca="false">IF(B79=0,"-",E78+D79+C79)</f>
        <v>1705</v>
      </c>
      <c r="F79" s="5" t="n">
        <f aca="false">IF(B79=0,"-",E79*0.5)</f>
        <v>852.5</v>
      </c>
      <c r="H79" s="4" t="str">
        <f aca="false">IF(B79=0,"-",IF(G78&gt;F79,"YES","NO"))</f>
        <v>NO</v>
      </c>
      <c r="I79" s="3" t="n">
        <f aca="false">IF(B79=0,"*",B79+(2*(F79-G78)))</f>
        <v>43318</v>
      </c>
      <c r="K79" s="5" t="n">
        <f aca="false">IF(B79=0,"*",F79-G78)</f>
        <v>92.5</v>
      </c>
    </row>
    <row r="80" customFormat="false" ht="13.8" hidden="false" customHeight="false" outlineLevel="0" collapsed="false">
      <c r="A80" s="3" t="n">
        <v>43155</v>
      </c>
      <c r="D80" s="2" t="n">
        <f aca="false">IF(A80=0,"-",A80-B79)</f>
        <v>22</v>
      </c>
      <c r="E80" s="2" t="n">
        <f aca="false">IF(A80=0,"-",E79+D80+C80)</f>
        <v>1727</v>
      </c>
      <c r="G80" s="2" t="n">
        <f aca="false">IF(A80=0,"-",D80+G78)</f>
        <v>782</v>
      </c>
      <c r="J80" s="4" t="s">
        <v>16</v>
      </c>
    </row>
    <row r="81" customFormat="false" ht="13.8" hidden="false" customHeight="false" outlineLevel="0" collapsed="false">
      <c r="B81" s="3" t="n">
        <v>43175</v>
      </c>
      <c r="C81" s="2" t="n">
        <f aca="false">IF(B81=0,"-",B81-A80)</f>
        <v>20</v>
      </c>
      <c r="E81" s="2" t="n">
        <f aca="false">IF(B81=0,"-",E80+D81+C81)</f>
        <v>1747</v>
      </c>
      <c r="F81" s="5" t="n">
        <f aca="false">IF(B81=0,"-",E81*0.5)</f>
        <v>873.5</v>
      </c>
      <c r="H81" s="4" t="str">
        <f aca="false">IF(B81=0,"-",IF(G80&gt;F81,"YES","NO"))</f>
        <v>NO</v>
      </c>
      <c r="I81" s="3" t="n">
        <f aca="false">IF(B81=0,"*",B81+(2*(F81-G80)))</f>
        <v>43358</v>
      </c>
      <c r="K81" s="5" t="n">
        <f aca="false">IF(B81=0,"*",F81-G80)</f>
        <v>91.5</v>
      </c>
    </row>
    <row r="82" customFormat="false" ht="13.8" hidden="false" customHeight="false" outlineLevel="0" collapsed="false">
      <c r="A82" s="3" t="n">
        <v>43191</v>
      </c>
      <c r="D82" s="2" t="n">
        <f aca="false">IF(A82=0,"-",A82-B81)</f>
        <v>16</v>
      </c>
      <c r="E82" s="2" t="n">
        <f aca="false">IF(A82=0,"-",E81+D82+C82)</f>
        <v>1763</v>
      </c>
      <c r="G82" s="2" t="n">
        <f aca="false">IF(A82=0,"-",D82+G80)</f>
        <v>798</v>
      </c>
    </row>
    <row r="83" customFormat="false" ht="13.8" hidden="false" customHeight="false" outlineLevel="0" collapsed="false">
      <c r="B83" s="3" t="n">
        <v>43218</v>
      </c>
      <c r="C83" s="2" t="n">
        <f aca="false">IF(B83=0,"-",B83-A82)</f>
        <v>27</v>
      </c>
      <c r="E83" s="2" t="n">
        <f aca="false">IF(B83=0,"-",E82+D83+C83)</f>
        <v>1790</v>
      </c>
      <c r="F83" s="5" t="n">
        <f aca="false">IF(B83=0,"-",E83*0.5)</f>
        <v>895</v>
      </c>
      <c r="H83" s="4" t="str">
        <f aca="false">IF(B83=0,"-",IF(G82&gt;F83,"YES","NO"))</f>
        <v>NO</v>
      </c>
      <c r="I83" s="3" t="n">
        <f aca="false">IF(B83=0,"*",B83+(2*(F83-G82)))</f>
        <v>43412</v>
      </c>
      <c r="K83" s="5" t="n">
        <f aca="false">IF(B83=0,"*",F83-G82)</f>
        <v>97</v>
      </c>
    </row>
    <row r="84" customFormat="false" ht="13.8" hidden="false" customHeight="false" outlineLevel="0" collapsed="false">
      <c r="A84" s="3" t="n">
        <v>43245</v>
      </c>
      <c r="D84" s="2" t="n">
        <f aca="false">IF(A84=0,"-",A84-B83)</f>
        <v>27</v>
      </c>
      <c r="E84" s="2" t="n">
        <f aca="false">IF(A84=0,"-",E83+D84+C84)</f>
        <v>1817</v>
      </c>
      <c r="G84" s="2" t="n">
        <f aca="false">IF(A84=0,"-",D84+G82)</f>
        <v>825</v>
      </c>
      <c r="J84" s="4" t="s">
        <v>24</v>
      </c>
    </row>
    <row r="85" customFormat="false" ht="13.8" hidden="false" customHeight="false" outlineLevel="0" collapsed="false">
      <c r="B85" s="3" t="n">
        <v>43264</v>
      </c>
      <c r="C85" s="2" t="n">
        <f aca="false">IF(B85=0,"-",B85-A84)</f>
        <v>19</v>
      </c>
      <c r="E85" s="2" t="n">
        <f aca="false">IF(B85=0,"-",E84+D85+C85)</f>
        <v>1836</v>
      </c>
      <c r="F85" s="5" t="n">
        <f aca="false">IF(B85=0,"-",E85*0.5)</f>
        <v>918</v>
      </c>
      <c r="H85" s="4" t="str">
        <f aca="false">IF(B85=0,"-",IF(G84&gt;F85,"YES","NO"))</f>
        <v>NO</v>
      </c>
      <c r="I85" s="3" t="n">
        <f aca="false">IF(B85=0,"*",B85+(2*(F85-G84)))</f>
        <v>43450</v>
      </c>
      <c r="K85" s="5" t="n">
        <f aca="false">IF(B85=0,"*",F85-G84)</f>
        <v>93</v>
      </c>
    </row>
    <row r="86" customFormat="false" ht="13.8" hidden="false" customHeight="false" outlineLevel="0" collapsed="false">
      <c r="A86" s="3" t="n">
        <v>43285</v>
      </c>
      <c r="D86" s="2" t="n">
        <f aca="false">IF(A86=0,"-",A86-B85)</f>
        <v>21</v>
      </c>
      <c r="E86" s="2" t="n">
        <f aca="false">IF(A86=0,"-",E85+D86+C86)</f>
        <v>1857</v>
      </c>
      <c r="G86" s="2" t="n">
        <f aca="false">IF(A86=0,"-",D86+G84)</f>
        <v>846</v>
      </c>
      <c r="J86" s="4" t="s">
        <v>19</v>
      </c>
    </row>
    <row r="87" customFormat="false" ht="13.8" hidden="false" customHeight="false" outlineLevel="0" collapsed="false">
      <c r="B87" s="3" t="n">
        <v>43311</v>
      </c>
      <c r="C87" s="2" t="n">
        <f aca="false">IF(B87=0,"-",B87-A86)</f>
        <v>26</v>
      </c>
      <c r="E87" s="2" t="n">
        <f aca="false">IF(B87=0,"-",E86+D87+C87)</f>
        <v>1883</v>
      </c>
      <c r="F87" s="5" t="n">
        <f aca="false">IF(B87=0,"-",E87*0.5)</f>
        <v>941.5</v>
      </c>
      <c r="H87" s="4" t="str">
        <f aca="false">IF(B87=0,"-",IF(G86&gt;F87,"YES","NO"))</f>
        <v>NO</v>
      </c>
      <c r="I87" s="3" t="n">
        <f aca="false">IF(B87=0,"*",B87+(2*(F87-G86)))</f>
        <v>43502</v>
      </c>
      <c r="K87" s="5" t="n">
        <f aca="false">IF(B87=0,"*",F87-G86)</f>
        <v>95.5</v>
      </c>
    </row>
    <row r="88" customFormat="false" ht="13.8" hidden="false" customHeight="false" outlineLevel="0" collapsed="false">
      <c r="A88" s="3" t="n">
        <v>43326</v>
      </c>
      <c r="D88" s="2" t="n">
        <f aca="false">IF(A88=0,"-",A88-B87)</f>
        <v>15</v>
      </c>
      <c r="E88" s="2" t="n">
        <f aca="false">IF(A88=0,"-",E87+D88+C88)</f>
        <v>1898</v>
      </c>
      <c r="G88" s="2" t="n">
        <f aca="false">IF(A88=0,"-",D88+G86)</f>
        <v>861</v>
      </c>
      <c r="J88" s="4" t="s">
        <v>20</v>
      </c>
    </row>
    <row r="89" customFormat="false" ht="13.8" hidden="false" customHeight="false" outlineLevel="0" collapsed="false">
      <c r="B89" s="3" t="n">
        <v>43344</v>
      </c>
      <c r="C89" s="2" t="n">
        <f aca="false">IF(B89=0,"-",B89-A88)</f>
        <v>18</v>
      </c>
      <c r="E89" s="2" t="n">
        <f aca="false">IF(B89=0,"-",E88+D89+C89)</f>
        <v>1916</v>
      </c>
      <c r="F89" s="5" t="n">
        <f aca="false">IF(B89=0,"-",E89*0.5)</f>
        <v>958</v>
      </c>
      <c r="H89" s="4" t="str">
        <f aca="false">IF(B89=0,"-",IF(G88&gt;F89,"YES","NO"))</f>
        <v>NO</v>
      </c>
      <c r="I89" s="3" t="n">
        <f aca="false">IF(B89=0,"*",B89+(2*(F89-G88)))</f>
        <v>43538</v>
      </c>
      <c r="K89" s="5" t="n">
        <f aca="false">IF(B89=0,"*",F89-G88)</f>
        <v>97</v>
      </c>
    </row>
    <row r="90" customFormat="false" ht="13.8" hidden="false" customHeight="false" outlineLevel="0" collapsed="false">
      <c r="A90" s="3" t="n">
        <v>43370</v>
      </c>
      <c r="D90" s="2" t="n">
        <f aca="false">IF(A90=0,"-",A90-B89)</f>
        <v>26</v>
      </c>
      <c r="E90" s="2" t="n">
        <f aca="false">IF(A90=0,"-",E89+D90+C90)</f>
        <v>1942</v>
      </c>
      <c r="G90" s="2" t="n">
        <f aca="false">IF(A90=0,"-",D90+G88)</f>
        <v>887</v>
      </c>
      <c r="J90" s="4" t="s">
        <v>11</v>
      </c>
    </row>
    <row r="91" customFormat="false" ht="13.8" hidden="false" customHeight="false" outlineLevel="0" collapsed="false">
      <c r="B91" s="3" t="n">
        <v>43395</v>
      </c>
      <c r="C91" s="2" t="n">
        <f aca="false">IF(B91=0,"-",B91-A90)</f>
        <v>25</v>
      </c>
      <c r="E91" s="2" t="n">
        <f aca="false">IF(B91=0,"-",E90+D91+C91)</f>
        <v>1967</v>
      </c>
      <c r="F91" s="5" t="n">
        <f aca="false">IF(B91=0,"-",E91*0.5)</f>
        <v>983.5</v>
      </c>
      <c r="H91" s="4" t="str">
        <f aca="false">IF(B91=0,"-",IF(G90&gt;F91,"YES","NO"))</f>
        <v>NO</v>
      </c>
      <c r="I91" s="3" t="n">
        <f aca="false">IF(B91=0,"*",B91+(2*(F91-G90)))</f>
        <v>43588</v>
      </c>
      <c r="K91" s="5" t="n">
        <f aca="false">IF(B91=0,"*",F91-G90)</f>
        <v>96.5</v>
      </c>
    </row>
    <row r="92" customFormat="false" ht="13.8" hidden="false" customHeight="false" outlineLevel="0" collapsed="false">
      <c r="A92" s="3" t="n">
        <v>43415</v>
      </c>
      <c r="D92" s="2" t="n">
        <f aca="false">IF(A92=0,"-",A92-B91)</f>
        <v>20</v>
      </c>
      <c r="E92" s="2" t="n">
        <f aca="false">IF(A92=0,"-",E91+D92+C92)</f>
        <v>1987</v>
      </c>
      <c r="G92" s="2" t="n">
        <f aca="false">IF(A92=0,"-",D92+G90)</f>
        <v>907</v>
      </c>
      <c r="J92" s="4" t="s">
        <v>12</v>
      </c>
    </row>
    <row r="93" customFormat="false" ht="13.8" hidden="false" customHeight="false" outlineLevel="0" collapsed="false">
      <c r="B93" s="3" t="n">
        <v>43432</v>
      </c>
      <c r="C93" s="2" t="n">
        <f aca="false">IF(B93=0,"-",B93-A92)</f>
        <v>17</v>
      </c>
      <c r="E93" s="2" t="n">
        <f aca="false">IF(B93=0,"-",E92+D93+C93)</f>
        <v>2004</v>
      </c>
      <c r="F93" s="5" t="n">
        <f aca="false">IF(B93=0,"-",E93*0.5)</f>
        <v>1002</v>
      </c>
      <c r="H93" s="4" t="str">
        <f aca="false">IF(B93=0,"-",IF(G92&gt;F93,"YES","NO"))</f>
        <v>NO</v>
      </c>
      <c r="I93" s="3" t="n">
        <f aca="false">IF(B93=0,"*",B93+(2*(F93-G92)))</f>
        <v>43622</v>
      </c>
      <c r="K93" s="5" t="n">
        <f aca="false">IF(B93=0,"*",F93-G92)</f>
        <v>95</v>
      </c>
    </row>
    <row r="94" customFormat="false" ht="13.8" hidden="false" customHeight="false" outlineLevel="0" collapsed="false">
      <c r="A94" s="3" t="n">
        <v>43446</v>
      </c>
      <c r="D94" s="2" t="n">
        <f aca="false">IF(A94=0,"-",A94-B93)</f>
        <v>14</v>
      </c>
      <c r="E94" s="2" t="n">
        <f aca="false">IF(A94=0,"-",E93+D94+C94)</f>
        <v>2018</v>
      </c>
      <c r="G94" s="2" t="n">
        <f aca="false">IF(A94=0,"-",D94+G92)</f>
        <v>921</v>
      </c>
      <c r="J94" s="4" t="s">
        <v>13</v>
      </c>
    </row>
    <row r="95" customFormat="false" ht="13.8" hidden="false" customHeight="false" outlineLevel="0" collapsed="false">
      <c r="B95" s="3" t="n">
        <v>43470</v>
      </c>
      <c r="C95" s="2" t="n">
        <f aca="false">IF(B95=0,"-",B95-A94)</f>
        <v>24</v>
      </c>
      <c r="E95" s="2" t="n">
        <f aca="false">IF(B95=0,"-",E94+D95+C95)</f>
        <v>2042</v>
      </c>
      <c r="F95" s="5" t="n">
        <f aca="false">IF(B95=0,"-",E95*0.5)</f>
        <v>1021</v>
      </c>
      <c r="H95" s="4" t="str">
        <f aca="false">IF(B95=0,"-",IF(G94&gt;F95,"YES","NO"))</f>
        <v>NO</v>
      </c>
      <c r="I95" s="3" t="n">
        <f aca="false">IF(B95=0,"*",B95+(2*(F95-G94)))</f>
        <v>43670</v>
      </c>
      <c r="K95" s="5" t="n">
        <f aca="false">IF(B95=0,"*",F95-G94)</f>
        <v>100</v>
      </c>
    </row>
    <row r="96" customFormat="false" ht="13.8" hidden="false" customHeight="false" outlineLevel="0" collapsed="false">
      <c r="A96" s="3" t="n">
        <v>43495</v>
      </c>
      <c r="D96" s="2" t="n">
        <f aca="false">IF(A96=0,"-",A96-B95)</f>
        <v>25</v>
      </c>
      <c r="E96" s="2" t="n">
        <f aca="false">IF(A96=0,"-",E95+D96+C96)</f>
        <v>2067</v>
      </c>
      <c r="G96" s="2" t="n">
        <f aca="false">IF(A96=0,"-",D96+G94)</f>
        <v>946</v>
      </c>
      <c r="J96" s="4" t="s">
        <v>14</v>
      </c>
    </row>
    <row r="97" customFormat="false" ht="13.8" hidden="false" customHeight="false" outlineLevel="0" collapsed="false">
      <c r="B97" s="3" t="n">
        <v>43526</v>
      </c>
      <c r="C97" s="2" t="n">
        <f aca="false">IF(B97=0,"-",B97-A96)</f>
        <v>31</v>
      </c>
      <c r="E97" s="2" t="n">
        <f aca="false">IF(B97=0,"-",E96+D97+C97)</f>
        <v>2098</v>
      </c>
      <c r="F97" s="5" t="n">
        <f aca="false">IF(B97=0,"-",E97*0.5)</f>
        <v>1049</v>
      </c>
      <c r="H97" s="4" t="str">
        <f aca="false">IF(B97=0,"-",IF(G96&gt;F97,"YES","NO"))</f>
        <v>NO</v>
      </c>
      <c r="I97" s="3" t="n">
        <f aca="false">IF(B97=0,"*",B97+(2*(F97-G96)))</f>
        <v>43732</v>
      </c>
      <c r="K97" s="5" t="n">
        <f aca="false">IF(B97=0,"*",F97-G96)</f>
        <v>103</v>
      </c>
    </row>
    <row r="98" customFormat="false" ht="13.8" hidden="false" customHeight="false" outlineLevel="0" collapsed="false">
      <c r="A98" s="3" t="n">
        <v>43545</v>
      </c>
      <c r="D98" s="2" t="n">
        <f aca="false">IF(A98=0,"-",A98-B97)</f>
        <v>19</v>
      </c>
      <c r="E98" s="2" t="n">
        <f aca="false">IF(A98=0,"-",E97+D98+C98)</f>
        <v>2117</v>
      </c>
      <c r="G98" s="2" t="n">
        <f aca="false">IF(A98=0,"-",D98+G96)</f>
        <v>965</v>
      </c>
      <c r="J98" s="4" t="s">
        <v>21</v>
      </c>
    </row>
    <row r="99" customFormat="false" ht="13.8" hidden="false" customHeight="false" outlineLevel="0" collapsed="false">
      <c r="B99" s="3" t="n">
        <v>43568</v>
      </c>
      <c r="C99" s="2" t="n">
        <f aca="false">IF(B99=0,"-",B99-A98)</f>
        <v>23</v>
      </c>
      <c r="E99" s="2" t="n">
        <f aca="false">IF(B99=0,"-",E98+D99+C99)</f>
        <v>2140</v>
      </c>
      <c r="F99" s="5" t="n">
        <f aca="false">IF(B99=0,"-",E99*0.5)</f>
        <v>1070</v>
      </c>
      <c r="H99" s="4" t="str">
        <f aca="false">IF(B99=0,"-",IF(G98&gt;F99,"YES","NO"))</f>
        <v>NO</v>
      </c>
      <c r="I99" s="3" t="n">
        <f aca="false">IF(B99=0,"*",B99+(2*(F99-G98)))</f>
        <v>43778</v>
      </c>
      <c r="K99" s="5" t="n">
        <f aca="false">IF(B99=0,"*",F99-G98)</f>
        <v>105</v>
      </c>
    </row>
    <row r="100" customFormat="false" ht="13.8" hidden="false" customHeight="false" outlineLevel="0" collapsed="false">
      <c r="A100" s="3" t="n">
        <v>43581</v>
      </c>
      <c r="D100" s="2" t="n">
        <f aca="false">IF(A100=0,"-",A100-B99)</f>
        <v>13</v>
      </c>
      <c r="E100" s="2" t="n">
        <f aca="false">IF(A100=0,"-",E99+D100+C100)</f>
        <v>2153</v>
      </c>
      <c r="G100" s="2" t="n">
        <f aca="false">IF(A100=0,"-",D100+G98)</f>
        <v>978</v>
      </c>
    </row>
    <row r="101" customFormat="false" ht="13.8" hidden="false" customHeight="false" outlineLevel="0" collapsed="false">
      <c r="B101" s="3" t="n">
        <v>43611</v>
      </c>
      <c r="C101" s="2" t="n">
        <f aca="false">IF(B101=0,"-",B101-A100)</f>
        <v>30</v>
      </c>
      <c r="E101" s="2" t="n">
        <f aca="false">IF(B101=0,"-",E100+D101+C101)</f>
        <v>2183</v>
      </c>
      <c r="F101" s="5" t="n">
        <f aca="false">IF(B101=0,"-",E101*0.5)</f>
        <v>1091.5</v>
      </c>
      <c r="H101" s="4" t="str">
        <f aca="false">IF(B101=0,"-",IF(G100&gt;F101,"YES","NO"))</f>
        <v>NO</v>
      </c>
      <c r="I101" s="3" t="n">
        <f aca="false">IF(B101=0,"*",B101+(2*(F101-G100)))</f>
        <v>43838</v>
      </c>
      <c r="K101" s="5" t="n">
        <f aca="false">IF(B101=0,"*",F101-G100)</f>
        <v>113.5</v>
      </c>
    </row>
    <row r="102" customFormat="false" ht="13.8" hidden="false" customHeight="false" outlineLevel="0" collapsed="false">
      <c r="A102" s="3" t="n">
        <v>43635</v>
      </c>
      <c r="D102" s="2" t="n">
        <f aca="false">IF(A102=0,"-",A102-B101)</f>
        <v>24</v>
      </c>
      <c r="E102" s="2" t="n">
        <f aca="false">IF(A102=0,"-",E101+D102+C102)</f>
        <v>2207</v>
      </c>
      <c r="G102" s="2" t="n">
        <f aca="false">IF(A102=0,"-",D102+G100)</f>
        <v>1002</v>
      </c>
      <c r="J102" s="4" t="s">
        <v>16</v>
      </c>
    </row>
    <row r="103" customFormat="false" ht="13.8" hidden="false" customHeight="false" outlineLevel="0" collapsed="false">
      <c r="B103" s="3" t="n">
        <v>43657</v>
      </c>
      <c r="C103" s="2" t="n">
        <f aca="false">IF(B103=0,"-",B103-A102)</f>
        <v>22</v>
      </c>
      <c r="E103" s="2" t="n">
        <f aca="false">IF(B103=0,"-",E102+D103+C103)</f>
        <v>2229</v>
      </c>
      <c r="F103" s="5" t="n">
        <f aca="false">IF(B103=0,"-",E103*0.5)</f>
        <v>1114.5</v>
      </c>
      <c r="H103" s="4" t="str">
        <f aca="false">IF(B103=0,"-",IF(G102&gt;F103,"YES","NO"))</f>
        <v>NO</v>
      </c>
      <c r="I103" s="3" t="n">
        <f aca="false">IF(B103=0,"*",B103+(2*(F103-G102)))</f>
        <v>43882</v>
      </c>
      <c r="K103" s="5" t="n">
        <f aca="false">IF(B103=0,"*",F103-G102)</f>
        <v>112.5</v>
      </c>
    </row>
    <row r="104" customFormat="false" ht="13.8" hidden="false" customHeight="false" outlineLevel="0" collapsed="false">
      <c r="A104" s="3" t="n">
        <v>43675</v>
      </c>
      <c r="D104" s="2" t="n">
        <f aca="false">IF(A104=0,"-",A104-B103)</f>
        <v>18</v>
      </c>
      <c r="E104" s="2" t="n">
        <f aca="false">IF(A104=0,"-",E103+D104+C104)</f>
        <v>2247</v>
      </c>
      <c r="G104" s="2" t="n">
        <f aca="false">IF(A104=0,"-",D104+G102)</f>
        <v>1020</v>
      </c>
      <c r="J104" s="4" t="s">
        <v>17</v>
      </c>
    </row>
    <row r="105" customFormat="false" ht="13.8" hidden="false" customHeight="false" outlineLevel="0" collapsed="false">
      <c r="B105" s="3" t="n">
        <v>43704</v>
      </c>
      <c r="C105" s="2" t="n">
        <f aca="false">IF(B105=0,"-",B105-A104)</f>
        <v>29</v>
      </c>
      <c r="E105" s="2" t="n">
        <f aca="false">IF(B105=0,"-",E104+D105+C105)</f>
        <v>2276</v>
      </c>
      <c r="F105" s="5" t="n">
        <f aca="false">IF(B105=0,"-",E105*0.5)</f>
        <v>1138</v>
      </c>
      <c r="H105" s="4" t="str">
        <f aca="false">IF(B105=0,"-",IF(G104&gt;F105,"YES","NO"))</f>
        <v>NO</v>
      </c>
      <c r="I105" s="3" t="n">
        <f aca="false">IF(B105=0,"*",B105+(2*(F105-G104)))</f>
        <v>43940</v>
      </c>
      <c r="K105" s="5" t="n">
        <f aca="false">IF(B105=0,"*",F105-G104)</f>
        <v>118</v>
      </c>
    </row>
    <row r="106" customFormat="false" ht="13.8" hidden="false" customHeight="false" outlineLevel="0" collapsed="false">
      <c r="A106" s="3" t="n">
        <v>43716</v>
      </c>
      <c r="D106" s="2" t="n">
        <f aca="false">IF(A106=0,"-",A106-B105)</f>
        <v>12</v>
      </c>
      <c r="E106" s="2" t="n">
        <f aca="false">IF(A106=0,"-",E105+D106+C106)</f>
        <v>2288</v>
      </c>
      <c r="G106" s="2" t="n">
        <f aca="false">IF(A106=0,"-",D106+G104)</f>
        <v>1032</v>
      </c>
      <c r="J106" s="4" t="s">
        <v>18</v>
      </c>
    </row>
    <row r="107" customFormat="false" ht="13.8" hidden="false" customHeight="false" outlineLevel="0" collapsed="false">
      <c r="B107" s="3" t="n">
        <v>43737</v>
      </c>
      <c r="C107" s="2" t="n">
        <f aca="false">IF(B107=0,"-",B107-A106)</f>
        <v>21</v>
      </c>
      <c r="E107" s="2" t="n">
        <f aca="false">IF(B107=0,"-",E106+D107+C107)</f>
        <v>2309</v>
      </c>
      <c r="F107" s="5" t="n">
        <f aca="false">IF(B107=0,"-",E107*0.5)</f>
        <v>1154.5</v>
      </c>
      <c r="H107" s="4" t="str">
        <f aca="false">IF(B107=0,"-",IF(G106&gt;F107,"YES","NO"))</f>
        <v>NO</v>
      </c>
      <c r="I107" s="3" t="n">
        <f aca="false">IF(B107=0,"*",B107+(2*(F107-G106)))</f>
        <v>43982</v>
      </c>
      <c r="K107" s="5" t="n">
        <f aca="false">IF(B107=0,"*",F107-G106)</f>
        <v>122.5</v>
      </c>
    </row>
    <row r="108" customFormat="false" ht="13.8" hidden="false" customHeight="false" outlineLevel="0" collapsed="false">
      <c r="A108" s="3" t="n">
        <v>43760</v>
      </c>
      <c r="D108" s="2" t="n">
        <f aca="false">IF(A108=0,"-",A108-B107)</f>
        <v>23</v>
      </c>
      <c r="E108" s="2" t="n">
        <f aca="false">IF(A108=0,"-",E107+D108+C108)</f>
        <v>2332</v>
      </c>
      <c r="G108" s="2" t="n">
        <f aca="false">IF(A108=0,"-",D108+G106)</f>
        <v>1055</v>
      </c>
      <c r="J108" s="4" t="s">
        <v>19</v>
      </c>
    </row>
    <row r="109" customFormat="false" ht="13.8" hidden="false" customHeight="false" outlineLevel="0" collapsed="false">
      <c r="B109" s="3" t="n">
        <v>43788</v>
      </c>
      <c r="C109" s="2" t="n">
        <f aca="false">IF(B109=0,"-",B109-A108)</f>
        <v>28</v>
      </c>
      <c r="E109" s="2" t="n">
        <f aca="false">IF(B109=0,"-",E108+D109+C109)</f>
        <v>2360</v>
      </c>
      <c r="F109" s="5" t="n">
        <f aca="false">IF(B109=0,"-",E109*0.5)</f>
        <v>1180</v>
      </c>
      <c r="H109" s="4" t="str">
        <f aca="false">IF(B109=0,"-",IF(G108&gt;F109,"YES","NO"))</f>
        <v>NO</v>
      </c>
      <c r="I109" s="3" t="n">
        <f aca="false">IF(B109=0,"*",B109+(2*(F109-G108)))</f>
        <v>44038</v>
      </c>
      <c r="K109" s="5" t="n">
        <f aca="false">IF(B109=0,"*",F109-G108)</f>
        <v>125</v>
      </c>
    </row>
    <row r="110" customFormat="false" ht="13.8" hidden="false" customHeight="false" outlineLevel="0" collapsed="false">
      <c r="A110" s="3" t="n">
        <v>43805</v>
      </c>
      <c r="D110" s="2" t="n">
        <f aca="false">IF(A110=0,"-",A110-B109)</f>
        <v>17</v>
      </c>
      <c r="E110" s="2" t="n">
        <f aca="false">IF(A110=0,"-",E109+D110+C110)</f>
        <v>2377</v>
      </c>
      <c r="G110" s="2" t="n">
        <f aca="false">IF(A110=0,"-",D110+G108)</f>
        <v>1072</v>
      </c>
      <c r="J110" s="4" t="s">
        <v>20</v>
      </c>
    </row>
    <row r="111" customFormat="false" ht="13.8" hidden="false" customHeight="false" outlineLevel="0" collapsed="false">
      <c r="B111" s="3" t="n">
        <v>43825</v>
      </c>
      <c r="C111" s="2" t="n">
        <f aca="false">IF(B111=0,"-",B111-A110)</f>
        <v>20</v>
      </c>
      <c r="E111" s="2" t="n">
        <f aca="false">IF(B111=0,"-",E110+D111+C111)</f>
        <v>2397</v>
      </c>
      <c r="F111" s="5" t="n">
        <f aca="false">IF(B111=0,"-",E111*0.5)</f>
        <v>1198.5</v>
      </c>
      <c r="H111" s="4" t="str">
        <f aca="false">IF(B111=0,"-",IF(G110&gt;F111,"YES","NO"))</f>
        <v>NO</v>
      </c>
      <c r="I111" s="3" t="n">
        <f aca="false">IF(B111=0,"*",B111+(2*(F111-G110)))</f>
        <v>44078</v>
      </c>
      <c r="K111" s="5" t="n">
        <f aca="false">IF(B111=0,"*",F111-G110)</f>
        <v>126.5</v>
      </c>
    </row>
    <row r="112" customFormat="false" ht="13.8" hidden="false" customHeight="false" outlineLevel="0" collapsed="false">
      <c r="A112" s="3" t="n">
        <v>43853</v>
      </c>
      <c r="D112" s="2" t="n">
        <f aca="false">IF(A112=0,"-",A112-B111)</f>
        <v>28</v>
      </c>
      <c r="E112" s="2" t="n">
        <f aca="false">IF(A112=0,"-",E111+D112+C112)</f>
        <v>2425</v>
      </c>
      <c r="G112" s="2" t="n">
        <f aca="false">IF(A112=0,"-",D112+G110)</f>
        <v>1100</v>
      </c>
      <c r="J112" s="4" t="s">
        <v>11</v>
      </c>
    </row>
    <row r="113" customFormat="false" ht="13.8" hidden="false" customHeight="false" outlineLevel="0" collapsed="false">
      <c r="B113" s="3" t="n">
        <v>43880</v>
      </c>
      <c r="C113" s="2" t="n">
        <f aca="false">IF(B113=0,"-",B113-A112)</f>
        <v>27</v>
      </c>
      <c r="E113" s="2" t="n">
        <f aca="false">IF(B113=0,"-",E112+D113+C113)</f>
        <v>2452</v>
      </c>
      <c r="F113" s="5" t="n">
        <f aca="false">IF(B113=0,"-",E113*0.5)</f>
        <v>1226</v>
      </c>
      <c r="H113" s="4" t="str">
        <f aca="false">IF(B113=0,"-",IF(G112&gt;F113,"YES","NO"))</f>
        <v>NO</v>
      </c>
      <c r="I113" s="3" t="n">
        <f aca="false">IF(B113=0,"*",B113+(2*(F113-G112)))</f>
        <v>44132</v>
      </c>
      <c r="K113" s="5" t="n">
        <f aca="false">IF(B113=0,"*",F113-G112)</f>
        <v>126</v>
      </c>
    </row>
    <row r="114" customFormat="false" ht="13.8" hidden="false" customHeight="false" outlineLevel="0" collapsed="false">
      <c r="A114" s="3" t="n">
        <v>43902</v>
      </c>
      <c r="D114" s="2" t="n">
        <f aca="false">IF(A114=0,"-",A114-B113)</f>
        <v>22</v>
      </c>
      <c r="E114" s="2" t="n">
        <f aca="false">IF(A114=0,"-",E113+D114+C114)</f>
        <v>2474</v>
      </c>
      <c r="G114" s="2" t="n">
        <f aca="false">IF(A114=0,"-",D114+G112)</f>
        <v>1122</v>
      </c>
      <c r="J114" s="4" t="s">
        <v>12</v>
      </c>
    </row>
    <row r="115" customFormat="false" ht="13.8" hidden="false" customHeight="false" outlineLevel="0" collapsed="false">
      <c r="B115" s="3" t="n">
        <v>43921</v>
      </c>
      <c r="C115" s="2" t="n">
        <f aca="false">IF(B115=0,"-",B115-A114)</f>
        <v>19</v>
      </c>
      <c r="E115" s="2" t="n">
        <f aca="false">IF(B115=0,"-",E114+D115+C115)</f>
        <v>2493</v>
      </c>
      <c r="F115" s="5" t="n">
        <f aca="false">IF(B115=0,"-",E115*0.5)</f>
        <v>1246.5</v>
      </c>
      <c r="H115" s="4" t="str">
        <f aca="false">IF(B115=0,"-",IF(G114&gt;F115,"YES","NO"))</f>
        <v>NO</v>
      </c>
      <c r="I115" s="3" t="n">
        <f aca="false">IF(B115=0,"*",B115+(2*(F115-G114)))</f>
        <v>44170</v>
      </c>
      <c r="K115" s="5" t="n">
        <f aca="false">IF(B115=0,"*",F115-G114)</f>
        <v>124.5</v>
      </c>
    </row>
    <row r="116" customFormat="false" ht="13.8" hidden="false" customHeight="false" outlineLevel="0" collapsed="false">
      <c r="A116" s="3" t="n">
        <v>43937</v>
      </c>
      <c r="D116" s="2" t="n">
        <f aca="false">IF(A116=0,"-",A116-B115)</f>
        <v>16</v>
      </c>
      <c r="E116" s="2" t="n">
        <f aca="false">IF(A116=0,"-",E115+D116+C116)</f>
        <v>2509</v>
      </c>
      <c r="G116" s="2" t="n">
        <f aca="false">IF(A116=0,"-",D116+G114)</f>
        <v>1138</v>
      </c>
      <c r="J116" s="4" t="s">
        <v>13</v>
      </c>
    </row>
    <row r="117" customFormat="false" ht="13.8" hidden="false" customHeight="false" outlineLevel="0" collapsed="false">
      <c r="B117" s="3" t="n">
        <v>43963</v>
      </c>
      <c r="C117" s="2" t="n">
        <f aca="false">IF(B117=0,"-",B117-A116)</f>
        <v>26</v>
      </c>
      <c r="E117" s="2" t="n">
        <f aca="false">IF(B117=0,"-",E116+D117+C117)</f>
        <v>2535</v>
      </c>
      <c r="F117" s="5" t="n">
        <f aca="false">IF(B117=0,"-",E117*0.5)</f>
        <v>1267.5</v>
      </c>
      <c r="H117" s="4" t="str">
        <f aca="false">IF(B117=0,"-",IF(G116&gt;F117,"YES","NO"))</f>
        <v>NO</v>
      </c>
      <c r="I117" s="3" t="n">
        <f aca="false">IF(B117=0,"*",B117+(2*(F117-G116)))</f>
        <v>44222</v>
      </c>
      <c r="K117" s="5" t="n">
        <f aca="false">IF(B117=0,"*",F117-G116)</f>
        <v>129.5</v>
      </c>
    </row>
    <row r="118" customFormat="false" ht="13.8" hidden="false" customHeight="false" outlineLevel="0" collapsed="false">
      <c r="A118" s="3" t="n">
        <v>43990</v>
      </c>
      <c r="D118" s="2" t="n">
        <f aca="false">IF(A118=0,"-",A118-B117)</f>
        <v>27</v>
      </c>
      <c r="E118" s="2" t="n">
        <f aca="false">IF(A118=0,"-",E117+D118+C118)</f>
        <v>2562</v>
      </c>
      <c r="G118" s="2" t="n">
        <f aca="false">IF(A118=0,"-",D118+G116)</f>
        <v>1165</v>
      </c>
    </row>
    <row r="119" customFormat="false" ht="13.8" hidden="false" customHeight="false" outlineLevel="0" collapsed="false">
      <c r="B119" s="3" t="n">
        <v>44008</v>
      </c>
      <c r="C119" s="2" t="n">
        <f aca="false">IF(B119=0,"-",B119-A118)</f>
        <v>18</v>
      </c>
      <c r="E119" s="2" t="n">
        <f aca="false">IF(B119=0,"-",E118+D119+C119)</f>
        <v>2580</v>
      </c>
      <c r="F119" s="5" t="n">
        <f aca="false">IF(B119=0,"-",E119*0.5)</f>
        <v>1290</v>
      </c>
      <c r="H119" s="4" t="str">
        <f aca="false">IF(B119=0,"-",IF(G118&gt;F119,"YES","NO"))</f>
        <v>NO</v>
      </c>
      <c r="I119" s="3" t="n">
        <f aca="false">IF(B119=0,"*",B119+(2*(F119-G118)))</f>
        <v>44258</v>
      </c>
      <c r="K119" s="5" t="n">
        <f aca="false">IF(B119=0,"*",F119-G118)</f>
        <v>125</v>
      </c>
    </row>
    <row r="120" customFormat="false" ht="13.8" hidden="false" customHeight="false" outlineLevel="0" collapsed="false">
      <c r="A120" s="3" t="n">
        <v>44029</v>
      </c>
      <c r="D120" s="2" t="n">
        <f aca="false">IF(A120=0,"-",A120-B119)</f>
        <v>21</v>
      </c>
      <c r="E120" s="2" t="n">
        <f aca="false">IF(A120=0,"-",E119+D120+C120)</f>
        <v>2601</v>
      </c>
      <c r="G120" s="2" t="n">
        <f aca="false">IF(A120=0,"-",D120+G118)</f>
        <v>1186</v>
      </c>
      <c r="J120" s="4" t="s">
        <v>25</v>
      </c>
    </row>
    <row r="121" customFormat="false" ht="13.8" hidden="false" customHeight="false" outlineLevel="0" collapsed="false">
      <c r="B121" s="3" t="n">
        <v>44054</v>
      </c>
      <c r="C121" s="2" t="n">
        <f aca="false">IF(B121=0,"-",B121-A120)</f>
        <v>25</v>
      </c>
      <c r="E121" s="2" t="n">
        <f aca="false">IF(B121=0,"-",E120+D121+C121)</f>
        <v>2626</v>
      </c>
      <c r="F121" s="5" t="n">
        <f aca="false">IF(B121=0,"-",E121*0.5)</f>
        <v>1313</v>
      </c>
      <c r="H121" s="4" t="str">
        <f aca="false">IF(B121=0,"-",IF(G120&gt;F121,"YES","NO"))</f>
        <v>NO</v>
      </c>
      <c r="I121" s="3" t="n">
        <f aca="false">IF(B121=0,"*",B121+(2*(F121-G120)))</f>
        <v>44308</v>
      </c>
      <c r="K121" s="5" t="n">
        <f aca="false">IF(B121=0,"*",F121-G120)</f>
        <v>127</v>
      </c>
    </row>
    <row r="122" customFormat="false" ht="13.8" hidden="false" customHeight="false" outlineLevel="0" collapsed="false">
      <c r="A122" s="3" t="n">
        <v>44069</v>
      </c>
      <c r="D122" s="2" t="n">
        <f aca="false">IF(A122=0,"-",A122-B121)</f>
        <v>15</v>
      </c>
      <c r="E122" s="2" t="n">
        <f aca="false">IF(A122=0,"-",E121+D122+C122)</f>
        <v>2641</v>
      </c>
      <c r="G122" s="2" t="n">
        <f aca="false">IF(A122=0,"-",D122+G120)</f>
        <v>1201</v>
      </c>
      <c r="J122" s="4" t="s">
        <v>22</v>
      </c>
    </row>
    <row r="123" customFormat="false" ht="13.8" hidden="false" customHeight="false" outlineLevel="0" collapsed="false">
      <c r="B123" s="3" t="n">
        <v>44086</v>
      </c>
      <c r="C123" s="2" t="n">
        <f aca="false">IF(B123=0,"-",B123-A122)</f>
        <v>17</v>
      </c>
      <c r="E123" s="2" t="n">
        <f aca="false">IF(B123=0,"-",E122+D123+C123)</f>
        <v>2658</v>
      </c>
      <c r="F123" s="5" t="n">
        <f aca="false">IF(B123=0,"-",E123*0.5)</f>
        <v>1329</v>
      </c>
      <c r="H123" s="4" t="str">
        <f aca="false">IF(B123=0,"-",IF(G122&gt;F123,"YES","NO"))</f>
        <v>NO</v>
      </c>
      <c r="I123" s="3" t="n">
        <f aca="false">IF(B123=0,"*",B123+(2*(F123-G122)))</f>
        <v>44342</v>
      </c>
      <c r="K123" s="5" t="n">
        <f aca="false">IF(B123=0,"*",F123-G122)</f>
        <v>128</v>
      </c>
    </row>
    <row r="124" customFormat="false" ht="13.8" hidden="false" customHeight="false" outlineLevel="0" collapsed="false">
      <c r="A124" s="3" t="n">
        <v>44112</v>
      </c>
      <c r="D124" s="2" t="n">
        <f aca="false">IF(A124=0,"-",A124-B123)</f>
        <v>26</v>
      </c>
      <c r="E124" s="2" t="n">
        <f aca="false">IF(A124=0,"-",E123+D124+C124)</f>
        <v>2684</v>
      </c>
      <c r="G124" s="2" t="n">
        <f aca="false">IF(A124=0,"-",D124+G122)</f>
        <v>1227</v>
      </c>
      <c r="J124" s="4" t="s">
        <v>16</v>
      </c>
    </row>
    <row r="125" customFormat="false" ht="13.8" hidden="false" customHeight="false" outlineLevel="0" collapsed="false">
      <c r="B125" s="3" t="n">
        <v>44136</v>
      </c>
      <c r="C125" s="2" t="n">
        <f aca="false">IF(B125=0,"-",B125-A124)</f>
        <v>24</v>
      </c>
      <c r="E125" s="2" t="n">
        <f aca="false">IF(B125=0,"-",E124+D125+C125)</f>
        <v>2708</v>
      </c>
      <c r="F125" s="5" t="n">
        <f aca="false">IF(B125=0,"-",E125*0.5)</f>
        <v>1354</v>
      </c>
      <c r="H125" s="4" t="str">
        <f aca="false">IF(B125=0,"-",IF(G124&gt;F125,"YES","NO"))</f>
        <v>NO</v>
      </c>
      <c r="I125" s="3" t="n">
        <f aca="false">IF(B125=0,"*",B125+(2*(F125-G124)))</f>
        <v>44390</v>
      </c>
      <c r="K125" s="5" t="n">
        <f aca="false">IF(B125=0,"*",F125-G124)</f>
        <v>127</v>
      </c>
    </row>
    <row r="126" customFormat="false" ht="13.8" hidden="false" customHeight="false" outlineLevel="0" collapsed="false">
      <c r="A126" s="3" t="n">
        <v>44156</v>
      </c>
      <c r="D126" s="2" t="n">
        <f aca="false">IF(A126=0,"-",A126-B125)</f>
        <v>20</v>
      </c>
      <c r="E126" s="2" t="n">
        <f aca="false">IF(A126=0,"-",E125+D126+C126)</f>
        <v>2728</v>
      </c>
      <c r="G126" s="2" t="n">
        <f aca="false">IF(A126=0,"-",D126+G124)</f>
        <v>1247</v>
      </c>
      <c r="J126" s="4" t="s">
        <v>17</v>
      </c>
    </row>
    <row r="127" customFormat="false" ht="13.8" hidden="false" customHeight="false" outlineLevel="0" collapsed="false">
      <c r="B127" s="3" t="n">
        <v>44187</v>
      </c>
      <c r="C127" s="2" t="n">
        <f aca="false">IF(B127=0,"-",B127-A126)</f>
        <v>31</v>
      </c>
      <c r="E127" s="2" t="n">
        <f aca="false">IF(B127=0,"-",E126+D127+C127)</f>
        <v>2759</v>
      </c>
      <c r="F127" s="5" t="n">
        <f aca="false">IF(B127=0,"-",E127*0.5)</f>
        <v>1379.5</v>
      </c>
      <c r="H127" s="4" t="str">
        <f aca="false">IF(B127=0,"-",IF(G126&gt;F127,"YES","NO"))</f>
        <v>NO</v>
      </c>
      <c r="I127" s="3" t="n">
        <f aca="false">IF(B127=0,"*",B127+(2*(F127-G126)))</f>
        <v>44452</v>
      </c>
      <c r="K127" s="5" t="n">
        <f aca="false">IF(B127=0,"*",F127-G126)</f>
        <v>132.5</v>
      </c>
    </row>
    <row r="128" customFormat="false" ht="13.8" hidden="false" customHeight="false" outlineLevel="0" collapsed="false">
      <c r="A128" s="3" t="n">
        <v>44201</v>
      </c>
      <c r="D128" s="2" t="n">
        <f aca="false">IF(A128=0,"-",A128-B127)</f>
        <v>14</v>
      </c>
      <c r="E128" s="2" t="n">
        <f aca="false">IF(A128=0,"-",E127+D128+C128)</f>
        <v>2773</v>
      </c>
      <c r="G128" s="2" t="n">
        <f aca="false">IF(A128=0,"-",D128+G126)</f>
        <v>1261</v>
      </c>
      <c r="J128" s="4" t="s">
        <v>18</v>
      </c>
    </row>
    <row r="129" customFormat="false" ht="13.8" hidden="false" customHeight="false" outlineLevel="0" collapsed="false">
      <c r="B129" s="3" t="n">
        <v>44224</v>
      </c>
      <c r="C129" s="2" t="n">
        <f aca="false">IF(B129=0,"-",B129-A128)</f>
        <v>23</v>
      </c>
      <c r="E129" s="2" t="n">
        <f aca="false">IF(B129=0,"-",E128+D129+C129)</f>
        <v>2796</v>
      </c>
      <c r="F129" s="5" t="n">
        <f aca="false">IF(B129=0,"-",E129*0.5)</f>
        <v>1398</v>
      </c>
      <c r="H129" s="4" t="str">
        <f aca="false">IF(B129=0,"-",IF(G128&gt;F129,"YES","NO"))</f>
        <v>NO</v>
      </c>
      <c r="I129" s="3" t="n">
        <f aca="false">IF(B129=0,"*",B129+(2*(F129-G128)))</f>
        <v>44498</v>
      </c>
      <c r="K129" s="5" t="n">
        <f aca="false">IF(B129=0,"*",F129-G128)</f>
        <v>137</v>
      </c>
    </row>
    <row r="130" customFormat="false" ht="13.8" hidden="false" customHeight="false" outlineLevel="0" collapsed="false">
      <c r="A130" s="3" t="n">
        <v>44249</v>
      </c>
      <c r="D130" s="2" t="n">
        <f aca="false">IF(A130=0,"-",A130-B129)</f>
        <v>25</v>
      </c>
      <c r="E130" s="2" t="n">
        <f aca="false">IF(A130=0,"-",E129+D130+C130)</f>
        <v>2821</v>
      </c>
      <c r="G130" s="2" t="n">
        <f aca="false">IF(A130=0,"-",D130+G128)</f>
        <v>1286</v>
      </c>
      <c r="J130" s="4" t="s">
        <v>19</v>
      </c>
    </row>
    <row r="131" customFormat="false" ht="13.8" hidden="false" customHeight="false" outlineLevel="0" collapsed="false">
      <c r="B131" s="3" t="n">
        <v>44279</v>
      </c>
      <c r="C131" s="2" t="n">
        <f aca="false">IF(B131=0,"-",B131-A130)</f>
        <v>30</v>
      </c>
      <c r="E131" s="2" t="n">
        <f aca="false">IF(B131=0,"-",E130+D131+C131)</f>
        <v>2851</v>
      </c>
      <c r="F131" s="5" t="n">
        <f aca="false">IF(B131=0,"-",E131*0.5)</f>
        <v>1425.5</v>
      </c>
      <c r="H131" s="4" t="str">
        <f aca="false">IF(B131=0,"-",IF(G130&gt;F131,"YES","NO"))</f>
        <v>NO</v>
      </c>
      <c r="I131" s="3" t="n">
        <f aca="false">IF(B131=0,"*",B131+(2*(F131-G130)))</f>
        <v>44558</v>
      </c>
      <c r="K131" s="5" t="n">
        <f aca="false">IF(B131=0,"*",F131-G130)</f>
        <v>139.5</v>
      </c>
    </row>
    <row r="132" customFormat="false" ht="13.8" hidden="false" customHeight="false" outlineLevel="0" collapsed="false">
      <c r="A132" s="3" t="n">
        <v>44298</v>
      </c>
      <c r="D132" s="2" t="n">
        <f aca="false">IF(A132=0,"-",A132-B131)</f>
        <v>19</v>
      </c>
      <c r="E132" s="2" t="n">
        <f aca="false">IF(A132=0,"-",E131+D132+C132)</f>
        <v>2870</v>
      </c>
      <c r="G132" s="2" t="n">
        <f aca="false">IF(A132=0,"-",D132+G130)</f>
        <v>1305</v>
      </c>
      <c r="J132" s="4" t="s">
        <v>20</v>
      </c>
    </row>
    <row r="133" customFormat="false" ht="13.8" hidden="false" customHeight="false" outlineLevel="0" collapsed="false">
      <c r="B133" s="3" t="n">
        <v>44320</v>
      </c>
      <c r="C133" s="2" t="n">
        <f aca="false">IF(B133=0,"-",B133-A132)</f>
        <v>22</v>
      </c>
      <c r="E133" s="2" t="n">
        <f aca="false">IF(B133=0,"-",E132+D133+C133)</f>
        <v>2892</v>
      </c>
      <c r="F133" s="5" t="n">
        <f aca="false">IF(B133=0,"-",E133*0.5)</f>
        <v>1446</v>
      </c>
      <c r="H133" s="4" t="str">
        <f aca="false">IF(B133=0,"-",IF(G132&gt;F133,"YES","NO"))</f>
        <v>NO</v>
      </c>
      <c r="I133" s="3" t="n">
        <f aca="false">IF(B133=0,"*",B133+(2*(F133-G132)))</f>
        <v>44602</v>
      </c>
      <c r="K133" s="5" t="n">
        <f aca="false">IF(B133=0,"*",F133-G132)</f>
        <v>141</v>
      </c>
    </row>
    <row r="134" customFormat="false" ht="13.8" hidden="false" customHeight="false" outlineLevel="0" collapsed="false">
      <c r="A134" s="3" t="n">
        <v>44333</v>
      </c>
      <c r="D134" s="2" t="n">
        <f aca="false">IF(A134=0,"-",A134-B133)</f>
        <v>13</v>
      </c>
      <c r="E134" s="2" t="n">
        <f aca="false">IF(A134=0,"-",E133+D134+C134)</f>
        <v>2905</v>
      </c>
      <c r="G134" s="2" t="n">
        <f aca="false">IF(A134=0,"-",D134+G132)</f>
        <v>1318</v>
      </c>
      <c r="J134" s="4" t="s">
        <v>11</v>
      </c>
    </row>
    <row r="135" customFormat="false" ht="13.8" hidden="false" customHeight="false" outlineLevel="0" collapsed="false">
      <c r="B135" s="3" t="n">
        <v>44362</v>
      </c>
      <c r="C135" s="2" t="n">
        <f aca="false">IF(B135=0,"-",B135-A134)</f>
        <v>29</v>
      </c>
      <c r="E135" s="2" t="n">
        <f aca="false">IF(B135=0,"-",E134+D135+C135)</f>
        <v>2934</v>
      </c>
      <c r="F135" s="5" t="n">
        <f aca="false">IF(B135=0,"-",E135*0.5)</f>
        <v>1467</v>
      </c>
      <c r="H135" s="4" t="str">
        <f aca="false">IF(B135=0,"-",IF(G134&gt;F135,"YES","NO"))</f>
        <v>NO</v>
      </c>
      <c r="I135" s="3" t="n">
        <f aca="false">IF(B135=0,"*",B135+(2*(F135-G134)))</f>
        <v>44660</v>
      </c>
      <c r="K135" s="5" t="n">
        <f aca="false">IF(B135=0,"*",F135-G134)</f>
        <v>149</v>
      </c>
    </row>
    <row r="136" customFormat="false" ht="13.8" hidden="false" customHeight="false" outlineLevel="0" collapsed="false">
      <c r="A136" s="3" t="n">
        <v>44386</v>
      </c>
      <c r="D136" s="2" t="n">
        <f aca="false">IF(A136=0,"-",A136-B135)</f>
        <v>24</v>
      </c>
      <c r="E136" s="2" t="n">
        <f aca="false">IF(A136=0,"-",E135+D136+C136)</f>
        <v>2958</v>
      </c>
      <c r="G136" s="2" t="n">
        <f aca="false">IF(A136=0,"-",D136+G134)</f>
        <v>1342</v>
      </c>
    </row>
    <row r="137" customFormat="false" ht="13.8" hidden="false" customHeight="false" outlineLevel="0" collapsed="false">
      <c r="B137" s="3" t="n">
        <v>44407</v>
      </c>
      <c r="C137" s="2" t="n">
        <f aca="false">IF(B137=0,"-",B137-A136)</f>
        <v>21</v>
      </c>
      <c r="E137" s="2" t="n">
        <f aca="false">IF(B137=0,"-",E136+D137+C137)</f>
        <v>2979</v>
      </c>
      <c r="F137" s="5" t="n">
        <f aca="false">IF(B137=0,"-",E137*0.5)</f>
        <v>1489.5</v>
      </c>
      <c r="H137" s="4" t="str">
        <f aca="false">IF(B137=0,"-",IF(G136&gt;F137,"YES","NO"))</f>
        <v>NO</v>
      </c>
      <c r="I137" s="3" t="n">
        <f aca="false">IF(B137=0,"*",B137+(2*(F137-G136)))</f>
        <v>44702</v>
      </c>
      <c r="K137" s="5" t="n">
        <f aca="false">IF(B137=0,"*",F137-G136)</f>
        <v>147.5</v>
      </c>
    </row>
    <row r="138" customFormat="false" ht="13.8" hidden="false" customHeight="false" outlineLevel="0" collapsed="false">
      <c r="A138" s="3" t="n">
        <v>44425</v>
      </c>
      <c r="D138" s="2" t="n">
        <f aca="false">IF(A138=0,"-",A138-B137)</f>
        <v>18</v>
      </c>
      <c r="E138" s="2" t="n">
        <f aca="false">IF(A138=0,"-",E137+D138+C138)</f>
        <v>2997</v>
      </c>
      <c r="G138" s="2" t="n">
        <f aca="false">IF(A138=0,"-",D138+G136)</f>
        <v>1360</v>
      </c>
      <c r="J138" s="4" t="s">
        <v>13</v>
      </c>
    </row>
    <row r="139" customFormat="false" ht="13.8" hidden="false" customHeight="false" outlineLevel="0" collapsed="false">
      <c r="B139" s="3" t="n">
        <v>44453</v>
      </c>
      <c r="C139" s="2" t="n">
        <f aca="false">IF(B139=0,"-",B139-A138)</f>
        <v>28</v>
      </c>
      <c r="E139" s="2" t="n">
        <f aca="false">IF(B139=0,"-",E138+D139+C139)</f>
        <v>3025</v>
      </c>
      <c r="F139" s="5" t="n">
        <f aca="false">IF(B139=0,"-",E139*0.5)</f>
        <v>1512.5</v>
      </c>
      <c r="H139" s="4" t="str">
        <f aca="false">IF(B139=0,"-",IF(G138&gt;F139,"YES","NO"))</f>
        <v>NO</v>
      </c>
      <c r="I139" s="3" t="n">
        <f aca="false">IF(B139=0,"*",B139+(2*(F139-G138)))</f>
        <v>44758</v>
      </c>
      <c r="K139" s="5" t="n">
        <f aca="false">IF(B139=0,"*",F139-G138)</f>
        <v>152.5</v>
      </c>
    </row>
    <row r="140" customFormat="false" ht="13.8" hidden="false" customHeight="false" outlineLevel="0" collapsed="false">
      <c r="A140" s="3" t="n">
        <v>44465</v>
      </c>
      <c r="D140" s="2" t="n">
        <f aca="false">IF(A140=0,"-",A140-B139)</f>
        <v>12</v>
      </c>
      <c r="E140" s="2" t="n">
        <f aca="false">IF(A140=0,"-",E139+D140+C140)</f>
        <v>3037</v>
      </c>
      <c r="G140" s="2" t="n">
        <f aca="false">IF(A140=0,"-",D140+G138)</f>
        <v>1372</v>
      </c>
      <c r="J140" s="4" t="s">
        <v>14</v>
      </c>
    </row>
    <row r="141" customFormat="false" ht="13.8" hidden="false" customHeight="false" outlineLevel="0" collapsed="false">
      <c r="B141" s="3" t="n">
        <v>44485</v>
      </c>
      <c r="C141" s="2" t="n">
        <f aca="false">IF(B141=0,"-",B141-A140)</f>
        <v>20</v>
      </c>
      <c r="E141" s="2" t="n">
        <f aca="false">IF(B141=0,"-",E140+D141+C141)</f>
        <v>3057</v>
      </c>
      <c r="F141" s="5" t="n">
        <f aca="false">IF(B141=0,"-",E141*0.5)</f>
        <v>1528.5</v>
      </c>
      <c r="H141" s="4" t="str">
        <f aca="false">IF(B141=0,"-",IF(G140&gt;F141,"YES","NO"))</f>
        <v>NO</v>
      </c>
      <c r="I141" s="3" t="n">
        <f aca="false">IF(B141=0,"*",B141+(2*(F141-G140)))</f>
        <v>44798</v>
      </c>
      <c r="K141" s="5" t="n">
        <f aca="false">IF(B141=0,"*",F141-G140)</f>
        <v>156.5</v>
      </c>
    </row>
    <row r="142" customFormat="false" ht="13.8" hidden="false" customHeight="false" outlineLevel="0" collapsed="false">
      <c r="A142" s="3" t="n">
        <v>44508</v>
      </c>
      <c r="D142" s="2" t="n">
        <f aca="false">IF(A142=0,"-",A142-B141)</f>
        <v>23</v>
      </c>
      <c r="E142" s="2" t="n">
        <f aca="false">IF(A142=0,"-",E141+D142+C142)</f>
        <v>3080</v>
      </c>
      <c r="G142" s="2" t="n">
        <f aca="false">IF(A142=0,"-",D142+G140)</f>
        <v>1395</v>
      </c>
      <c r="J142" s="4" t="s">
        <v>21</v>
      </c>
    </row>
    <row r="143" customFormat="false" ht="13.8" hidden="false" customHeight="false" outlineLevel="0" collapsed="false">
      <c r="B143" s="3" t="n">
        <v>44535</v>
      </c>
      <c r="C143" s="2" t="n">
        <f aca="false">IF(B143=0,"-",B143-A142)</f>
        <v>27</v>
      </c>
      <c r="E143" s="2" t="n">
        <f aca="false">IF(B143=0,"-",E142+D143+C143)</f>
        <v>3107</v>
      </c>
      <c r="F143" s="5" t="n">
        <f aca="false">IF(B143=0,"-",E143*0.5)</f>
        <v>1553.5</v>
      </c>
      <c r="H143" s="4" t="str">
        <f aca="false">IF(B143=0,"-",IF(G142&gt;F143,"YES","NO"))</f>
        <v>NO</v>
      </c>
      <c r="I143" s="3" t="n">
        <f aca="false">IF(B143=0,"*",B143+(2*(F143-G142)))</f>
        <v>44852</v>
      </c>
      <c r="K143" s="5" t="n">
        <f aca="false">IF(B143=0,"*",F143-G142)</f>
        <v>158.5</v>
      </c>
    </row>
    <row r="144" customFormat="false" ht="13.8" hidden="false" customHeight="false" outlineLevel="0" collapsed="false">
      <c r="A144" s="3" t="n">
        <v>44552</v>
      </c>
      <c r="D144" s="2" t="n">
        <f aca="false">IF(A144=0,"-",A144-B143)</f>
        <v>17</v>
      </c>
      <c r="E144" s="2" t="n">
        <f aca="false">IF(A144=0,"-",E143+D144+C144)</f>
        <v>3124</v>
      </c>
      <c r="G144" s="2" t="n">
        <f aca="false">IF(A144=0,"-",D144+G142)</f>
        <v>1412</v>
      </c>
      <c r="J144" s="4" t="s">
        <v>22</v>
      </c>
    </row>
    <row r="145" customFormat="false" ht="13.8" hidden="false" customHeight="false" outlineLevel="0" collapsed="false">
      <c r="B145" s="3" t="n">
        <v>44571</v>
      </c>
      <c r="C145" s="2" t="n">
        <f aca="false">IF(B145=0,"-",B145-A144)</f>
        <v>19</v>
      </c>
      <c r="E145" s="2" t="n">
        <f aca="false">IF(B145=0,"-",E144+D145+C145)</f>
        <v>3143</v>
      </c>
      <c r="F145" s="5" t="n">
        <f aca="false">IF(B145=0,"-",E145*0.5)</f>
        <v>1571.5</v>
      </c>
      <c r="H145" s="4" t="str">
        <f aca="false">IF(B145=0,"-",IF(G144&gt;F145,"YES","NO"))</f>
        <v>NO</v>
      </c>
      <c r="I145" s="3" t="n">
        <f aca="false">IF(B145=0,"*",B145+(2*(F145-G144)))</f>
        <v>44890</v>
      </c>
      <c r="K145" s="5" t="n">
        <f aca="false">IF(B145=0,"*",F145-G144)</f>
        <v>159.5</v>
      </c>
    </row>
    <row r="146" customFormat="false" ht="13.8" hidden="false" customHeight="false" outlineLevel="0" collapsed="false">
      <c r="A146" s="3" t="n">
        <v>44599</v>
      </c>
      <c r="D146" s="2" t="n">
        <f aca="false">IF(A146=0,"-",A146-B145)</f>
        <v>28</v>
      </c>
      <c r="E146" s="2" t="n">
        <f aca="false">IF(A146=0,"-",E145+D146+C146)</f>
        <v>3171</v>
      </c>
      <c r="G146" s="2" t="n">
        <f aca="false">IF(A146=0,"-",D146+G144)</f>
        <v>1440</v>
      </c>
      <c r="J146" s="4" t="s">
        <v>16</v>
      </c>
    </row>
    <row r="147" customFormat="false" ht="13.8" hidden="false" customHeight="false" outlineLevel="0" collapsed="false">
      <c r="B147" s="3" t="n">
        <v>44625</v>
      </c>
      <c r="C147" s="2" t="n">
        <f aca="false">IF(B147=0,"-",B147-A146)</f>
        <v>26</v>
      </c>
      <c r="E147" s="2" t="n">
        <f aca="false">IF(B147=0,"-",E146+D147+C147)</f>
        <v>3197</v>
      </c>
      <c r="F147" s="5" t="n">
        <f aca="false">IF(B147=0,"-",E147*0.5)</f>
        <v>1598.5</v>
      </c>
      <c r="H147" s="4" t="str">
        <f aca="false">IF(B147=0,"-",IF(G146&gt;F147,"YES","NO"))</f>
        <v>NO</v>
      </c>
      <c r="I147" s="3" t="n">
        <f aca="false">IF(B147=0,"*",B147+(2*(F147-G146)))</f>
        <v>44942</v>
      </c>
      <c r="K147" s="5" t="n">
        <f aca="false">IF(B147=0,"*",F147-G146)</f>
        <v>158.5</v>
      </c>
    </row>
    <row r="148" customFormat="false" ht="13.8" hidden="false" customHeight="false" outlineLevel="0" collapsed="false">
      <c r="A148" s="3" t="n">
        <v>44647</v>
      </c>
      <c r="D148" s="2" t="n">
        <f aca="false">IF(A148=0,"-",A148-B147)</f>
        <v>22</v>
      </c>
      <c r="E148" s="2" t="n">
        <f aca="false">IF(A148=0,"-",E147+D148+C148)</f>
        <v>3219</v>
      </c>
      <c r="G148" s="2" t="n">
        <f aca="false">IF(A148=0,"-",D148+G146)</f>
        <v>1462</v>
      </c>
      <c r="J148" s="4" t="s">
        <v>17</v>
      </c>
    </row>
    <row r="149" customFormat="false" ht="13.8" hidden="false" customHeight="false" outlineLevel="0" collapsed="false">
      <c r="B149" s="3" t="n">
        <v>44665</v>
      </c>
      <c r="C149" s="2" t="n">
        <f aca="false">IF(B149=0,"-",B149-A148)</f>
        <v>18</v>
      </c>
      <c r="E149" s="2" t="n">
        <f aca="false">IF(B149=0,"-",E148+D149+C149)</f>
        <v>3237</v>
      </c>
      <c r="F149" s="5" t="n">
        <f aca="false">IF(B149=0,"-",E149*0.5)</f>
        <v>1618.5</v>
      </c>
      <c r="H149" s="4" t="str">
        <f aca="false">IF(B149=0,"-",IF(G148&gt;F149,"YES","NO"))</f>
        <v>NO</v>
      </c>
      <c r="I149" s="3" t="n">
        <f aca="false">IF(B149=0,"*",B149+(2*(F149-G148)))</f>
        <v>44978</v>
      </c>
      <c r="K149" s="5" t="n">
        <f aca="false">IF(B149=0,"*",F149-G148)</f>
        <v>156.5</v>
      </c>
    </row>
    <row r="150" customFormat="false" ht="13.8" hidden="false" customHeight="false" outlineLevel="0" collapsed="false">
      <c r="A150" s="3" t="n">
        <v>44681</v>
      </c>
      <c r="D150" s="2" t="n">
        <f aca="false">IF(A150=0,"-",A150-B149)</f>
        <v>16</v>
      </c>
      <c r="E150" s="2" t="n">
        <f aca="false">IF(A150=0,"-",E149+D150+C150)</f>
        <v>3253</v>
      </c>
      <c r="G150" s="2" t="n">
        <f aca="false">IF(A150=0,"-",D150+G148)</f>
        <v>1478</v>
      </c>
      <c r="J150" s="4" t="s">
        <v>18</v>
      </c>
    </row>
    <row r="151" customFormat="false" ht="13.8" hidden="false" customHeight="false" outlineLevel="0" collapsed="false">
      <c r="B151" s="3" t="n">
        <v>44706</v>
      </c>
      <c r="C151" s="2" t="n">
        <f aca="false">IF(B151=0,"-",B151-A150)</f>
        <v>25</v>
      </c>
      <c r="E151" s="2" t="n">
        <f aca="false">IF(B151=0,"-",E150+D151+C151)</f>
        <v>3278</v>
      </c>
      <c r="F151" s="5" t="n">
        <f aca="false">IF(B151=0,"-",E151*0.5)</f>
        <v>1639</v>
      </c>
      <c r="H151" s="4" t="str">
        <f aca="false">IF(B151=0,"-",IF(G150&gt;F151,"YES","NO"))</f>
        <v>NO</v>
      </c>
      <c r="I151" s="3" t="n">
        <f aca="false">IF(B151=0,"*",B151+(2*(F151-G150)))</f>
        <v>45028</v>
      </c>
      <c r="K151" s="5" t="n">
        <f aca="false">IF(B151=0,"*",F151-G150)</f>
        <v>161</v>
      </c>
    </row>
    <row r="152" customFormat="false" ht="13.8" hidden="false" customHeight="false" outlineLevel="0" collapsed="false">
      <c r="A152" s="3" t="n">
        <v>44733</v>
      </c>
      <c r="D152" s="2" t="n">
        <f aca="false">IF(A152=0,"-",A152-B151)</f>
        <v>27</v>
      </c>
      <c r="E152" s="2" t="n">
        <f aca="false">IF(A152=0,"-",E151+D152+C152)</f>
        <v>3305</v>
      </c>
      <c r="G152" s="2" t="n">
        <f aca="false">IF(A152=0,"-",D152+G150)</f>
        <v>1505</v>
      </c>
      <c r="J152" s="4" t="s">
        <v>19</v>
      </c>
    </row>
    <row r="153" customFormat="false" ht="13.8" hidden="false" customHeight="false" outlineLevel="0" collapsed="false">
      <c r="B153" s="3" t="n">
        <v>44750</v>
      </c>
      <c r="C153" s="2" t="n">
        <f aca="false">IF(B153=0,"-",B153-A152)</f>
        <v>17</v>
      </c>
      <c r="E153" s="2" t="n">
        <f aca="false">IF(B153=0,"-",E152+D153+C153)</f>
        <v>3322</v>
      </c>
      <c r="F153" s="5" t="n">
        <f aca="false">IF(B153=0,"-",E153*0.5)</f>
        <v>1661</v>
      </c>
      <c r="H153" s="4" t="str">
        <f aca="false">IF(B153=0,"-",IF(G152&gt;F153,"YES","NO"))</f>
        <v>NO</v>
      </c>
      <c r="I153" s="3" t="n">
        <f aca="false">IF(B153=0,"*",B153+(2*(F153-G152)))</f>
        <v>45062</v>
      </c>
      <c r="K153" s="5" t="n">
        <f aca="false">IF(B153=0,"*",F153-G152)</f>
        <v>156</v>
      </c>
    </row>
    <row r="154" customFormat="false" ht="13.8" hidden="false" customHeight="false" outlineLevel="0" collapsed="false">
      <c r="A154" s="3" t="n">
        <v>44771</v>
      </c>
      <c r="D154" s="2" t="n">
        <f aca="false">IF(A154=0,"-",A154-B153)</f>
        <v>21</v>
      </c>
      <c r="E154" s="2" t="n">
        <f aca="false">IF(A154=0,"-",E153+D154+C154)</f>
        <v>3343</v>
      </c>
      <c r="G154" s="2" t="n">
        <f aca="false">IF(A154=0,"-",D154+G152)</f>
        <v>1526</v>
      </c>
    </row>
    <row r="155" customFormat="false" ht="13.8" hidden="false" customHeight="false" outlineLevel="0" collapsed="false">
      <c r="B155" s="3" t="n">
        <v>44795</v>
      </c>
      <c r="C155" s="2" t="n">
        <f aca="false">IF(B155=0,"-",B155-A154)</f>
        <v>24</v>
      </c>
      <c r="E155" s="2" t="n">
        <f aca="false">IF(B155=0,"-",E154+D155+C155)</f>
        <v>3367</v>
      </c>
      <c r="F155" s="5" t="n">
        <f aca="false">IF(B155=0,"-",E155*0.5)</f>
        <v>1683.5</v>
      </c>
      <c r="H155" s="4" t="str">
        <f aca="false">IF(B155=0,"-",IF(G154&gt;F155,"YES","NO"))</f>
        <v>NO</v>
      </c>
      <c r="I155" s="3" t="n">
        <f aca="false">IF(B155=0,"*",B155+(2*(F155-G154)))</f>
        <v>45110</v>
      </c>
      <c r="K155" s="5" t="n">
        <f aca="false">IF(B155=0,"*",F155-G154)</f>
        <v>157.5</v>
      </c>
    </row>
    <row r="156" customFormat="false" ht="13.8" hidden="false" customHeight="false" outlineLevel="0" collapsed="false">
      <c r="A156" s="3" t="n">
        <v>44810</v>
      </c>
      <c r="D156" s="2" t="n">
        <f aca="false">IF(A156=0,"-",A156-B155)</f>
        <v>15</v>
      </c>
      <c r="E156" s="2" t="n">
        <f aca="false">IF(A156=0,"-",E155+D156+C156)</f>
        <v>3382</v>
      </c>
      <c r="G156" s="2" t="n">
        <f aca="false">IF(A156=0,"-",D156+G154)</f>
        <v>1541</v>
      </c>
      <c r="J156" s="4" t="s">
        <v>26</v>
      </c>
    </row>
    <row r="157" customFormat="false" ht="13.8" hidden="false" customHeight="false" outlineLevel="0" collapsed="false">
      <c r="B157" s="3" t="n">
        <v>44841</v>
      </c>
      <c r="C157" s="2" t="n">
        <f aca="false">IF(B157=0,"-",B157-A156)</f>
        <v>31</v>
      </c>
      <c r="E157" s="2" t="n">
        <f aca="false">IF(B157=0,"-",E156+D157+C157)</f>
        <v>3413</v>
      </c>
      <c r="F157" s="5" t="n">
        <f aca="false">IF(B157=0,"-",E157*0.5)</f>
        <v>1706.5</v>
      </c>
      <c r="H157" s="4" t="str">
        <f aca="false">IF(B157=0,"-",IF(G156&gt;F157,"YES","NO"))</f>
        <v>NO</v>
      </c>
      <c r="I157" s="3" t="n">
        <f aca="false">IF(B157=0,"*",B157+(2*(F157-G156)))</f>
        <v>45172</v>
      </c>
      <c r="K157" s="5" t="n">
        <f aca="false">IF(B157=0,"*",F157-G156)</f>
        <v>165.5</v>
      </c>
    </row>
    <row r="158" customFormat="false" ht="13.8" hidden="false" customHeight="false" outlineLevel="0" collapsed="false">
      <c r="A158" s="3" t="n">
        <v>44867</v>
      </c>
      <c r="D158" s="2" t="n">
        <f aca="false">IF(A158=0,"-",A158-B157)</f>
        <v>26</v>
      </c>
      <c r="E158" s="2" t="n">
        <f aca="false">IF(A158=0,"-",E157+D158+C158)</f>
        <v>3439</v>
      </c>
      <c r="G158" s="2" t="n">
        <f aca="false">IF(A158=0,"-",D158+G156)</f>
        <v>1567</v>
      </c>
      <c r="J158" s="4" t="s">
        <v>12</v>
      </c>
    </row>
    <row r="159" customFormat="false" ht="13.8" hidden="false" customHeight="false" outlineLevel="0" collapsed="false">
      <c r="B159" s="3" t="n">
        <v>44890</v>
      </c>
      <c r="C159" s="2" t="n">
        <f aca="false">IF(B159=0,"-",B159-A158)</f>
        <v>23</v>
      </c>
      <c r="E159" s="2" t="n">
        <f aca="false">IF(B159=0,"-",E158+D159+C159)</f>
        <v>3462</v>
      </c>
      <c r="F159" s="5" t="n">
        <f aca="false">IF(B159=0,"-",E159*0.5)</f>
        <v>1731</v>
      </c>
      <c r="H159" s="4" t="str">
        <f aca="false">IF(B159=0,"-",IF(G158&gt;F159,"YES","NO"))</f>
        <v>NO</v>
      </c>
      <c r="I159" s="3" t="n">
        <f aca="false">IF(B159=0,"*",B159+(2*(F159-G158)))</f>
        <v>45218</v>
      </c>
      <c r="K159" s="5" t="n">
        <f aca="false">IF(B159=0,"*",F159-G158)</f>
        <v>164</v>
      </c>
    </row>
    <row r="160" customFormat="false" ht="13.8" hidden="false" customHeight="false" outlineLevel="0" collapsed="false">
      <c r="A160" s="3" t="n">
        <v>44910</v>
      </c>
      <c r="D160" s="2" t="n">
        <f aca="false">IF(A160=0,"-",A160-B159)</f>
        <v>20</v>
      </c>
      <c r="E160" s="2" t="n">
        <f aca="false">IF(A160=0,"-",E159+D160+C160)</f>
        <v>3482</v>
      </c>
      <c r="G160" s="2" t="n">
        <f aca="false">IF(A160=0,"-",D160+G158)</f>
        <v>1587</v>
      </c>
      <c r="J160" s="4" t="s">
        <v>13</v>
      </c>
    </row>
    <row r="161" customFormat="false" ht="13.8" hidden="false" customHeight="false" outlineLevel="0" collapsed="false">
      <c r="B161" s="3" t="n">
        <v>44940</v>
      </c>
      <c r="C161" s="2" t="n">
        <f aca="false">IF(B161=0,"-",B161-A160)</f>
        <v>30</v>
      </c>
      <c r="E161" s="2" t="n">
        <f aca="false">IF(B161=0,"-",E160+D161+C161)</f>
        <v>3512</v>
      </c>
      <c r="F161" s="5" t="n">
        <f aca="false">IF(B161=0,"-",E161*0.5)</f>
        <v>1756</v>
      </c>
      <c r="H161" s="4" t="str">
        <f aca="false">IF(B161=0,"-",IF(G160&gt;F161,"YES","NO"))</f>
        <v>NO</v>
      </c>
      <c r="I161" s="3" t="n">
        <f aca="false">IF(B161=0,"*",B161+(2*(F161-G160)))</f>
        <v>45278</v>
      </c>
      <c r="K161" s="5" t="n">
        <f aca="false">IF(B161=0,"*",F161-G160)</f>
        <v>169</v>
      </c>
    </row>
    <row r="162" customFormat="false" ht="13.8" hidden="false" customHeight="false" outlineLevel="0" collapsed="false">
      <c r="A162" s="3" t="n">
        <v>44954</v>
      </c>
      <c r="D162" s="2" t="n">
        <f aca="false">IF(A162=0,"-",A162-B161)</f>
        <v>14</v>
      </c>
      <c r="E162" s="2" t="n">
        <f aca="false">IF(A162=0,"-",E161+D162+C162)</f>
        <v>3526</v>
      </c>
      <c r="G162" s="2" t="n">
        <f aca="false">IF(A162=0,"-",D162+G160)</f>
        <v>1601</v>
      </c>
      <c r="J162" s="4" t="s">
        <v>14</v>
      </c>
    </row>
    <row r="163" customFormat="false" ht="13.8" hidden="false" customHeight="false" outlineLevel="0" collapsed="false">
      <c r="B163" s="3" t="n">
        <v>44976</v>
      </c>
      <c r="C163" s="2" t="n">
        <f aca="false">IF(B163=0,"-",B163-A162)</f>
        <v>22</v>
      </c>
      <c r="E163" s="2" t="n">
        <f aca="false">IF(B163=0,"-",E162+D163+C163)</f>
        <v>3548</v>
      </c>
      <c r="F163" s="5" t="n">
        <f aca="false">IF(B163=0,"-",E163*0.5)</f>
        <v>1774</v>
      </c>
      <c r="H163" s="4" t="str">
        <f aca="false">IF(B163=0,"-",IF(G162&gt;F163,"YES","NO"))</f>
        <v>NO</v>
      </c>
      <c r="I163" s="3" t="n">
        <f aca="false">IF(B163=0,"*",B163+(2*(F163-G162)))</f>
        <v>45322</v>
      </c>
      <c r="K163" s="5" t="n">
        <f aca="false">IF(B163=0,"*",F163-G162)</f>
        <v>173</v>
      </c>
    </row>
    <row r="164" customFormat="false" ht="13.8" hidden="false" customHeight="false" outlineLevel="0" collapsed="false">
      <c r="A164" s="3" t="n">
        <v>45001</v>
      </c>
      <c r="D164" s="2" t="n">
        <f aca="false">IF(A164=0,"-",A164-B163)</f>
        <v>25</v>
      </c>
      <c r="E164" s="2" t="n">
        <f aca="false">IF(A164=0,"-",E163+D164+C164)</f>
        <v>3573</v>
      </c>
      <c r="G164" s="2" t="n">
        <f aca="false">IF(A164=0,"-",D164+G162)</f>
        <v>1626</v>
      </c>
      <c r="J164" s="4" t="s">
        <v>21</v>
      </c>
    </row>
    <row r="165" customFormat="false" ht="13.8" hidden="false" customHeight="false" outlineLevel="0" collapsed="false">
      <c r="B165" s="3" t="n">
        <v>45030</v>
      </c>
      <c r="C165" s="2" t="n">
        <f aca="false">IF(B165=0,"-",B165-A164)</f>
        <v>29</v>
      </c>
      <c r="E165" s="2" t="n">
        <f aca="false">IF(B165=0,"-",E164+D165+C165)</f>
        <v>3602</v>
      </c>
      <c r="F165" s="5" t="n">
        <f aca="false">IF(B165=0,"-",E165*0.5)</f>
        <v>1801</v>
      </c>
      <c r="H165" s="4" t="str">
        <f aca="false">IF(B165=0,"-",IF(G164&gt;F165,"YES","NO"))</f>
        <v>NO</v>
      </c>
      <c r="I165" s="3" t="n">
        <f aca="false">IF(B165=0,"*",B165+(2*(F165-G164)))</f>
        <v>45380</v>
      </c>
      <c r="K165" s="5" t="n">
        <f aca="false">IF(B165=0,"*",F165-G164)</f>
        <v>175</v>
      </c>
    </row>
    <row r="166" customFormat="false" ht="13.8" hidden="false" customHeight="false" outlineLevel="0" collapsed="false">
      <c r="A166" s="3" t="n">
        <v>45049</v>
      </c>
      <c r="D166" s="2" t="n">
        <f aca="false">IF(A166=0,"-",A166-B165)</f>
        <v>19</v>
      </c>
      <c r="E166" s="2" t="n">
        <f aca="false">IF(A166=0,"-",E165+D166+C166)</f>
        <v>3621</v>
      </c>
      <c r="G166" s="2" t="n">
        <f aca="false">IF(A166=0,"-",D166+G164)</f>
        <v>1645</v>
      </c>
      <c r="J166" s="4" t="s">
        <v>22</v>
      </c>
    </row>
    <row r="167" customFormat="false" ht="13.8" hidden="false" customHeight="false" outlineLevel="0" collapsed="false">
      <c r="B167" s="3" t="n">
        <v>45070</v>
      </c>
      <c r="C167" s="2" t="n">
        <f aca="false">IF(B167=0,"-",B167-A166)</f>
        <v>21</v>
      </c>
      <c r="E167" s="2" t="n">
        <f aca="false">IF(B167=0,"-",E166+D167+C167)</f>
        <v>3642</v>
      </c>
      <c r="F167" s="5" t="n">
        <f aca="false">IF(B167=0,"-",E167*0.5)</f>
        <v>1821</v>
      </c>
      <c r="H167" s="4" t="str">
        <f aca="false">IF(B167=0,"-",IF(G166&gt;F167,"YES","NO"))</f>
        <v>NO</v>
      </c>
      <c r="I167" s="3" t="n">
        <f aca="false">IF(B167=0,"*",B167+(2*(F167-G166)))</f>
        <v>45422</v>
      </c>
      <c r="K167" s="5" t="n">
        <f aca="false">IF(B167=0,"*",F167-G166)</f>
        <v>176</v>
      </c>
    </row>
    <row r="168" customFormat="false" ht="13.8" hidden="false" customHeight="false" outlineLevel="0" collapsed="false">
      <c r="A168" s="3" t="n">
        <v>45083</v>
      </c>
      <c r="D168" s="2" t="n">
        <f aca="false">IF(A168=0,"-",A168-B167)</f>
        <v>13</v>
      </c>
      <c r="E168" s="2" t="n">
        <f aca="false">IF(A168=0,"-",E167+D168+C168)</f>
        <v>3655</v>
      </c>
      <c r="G168" s="2" t="n">
        <f aca="false">IF(A168=0,"-",D168+G166)</f>
        <v>1658</v>
      </c>
      <c r="J168" s="4" t="s">
        <v>16</v>
      </c>
    </row>
    <row r="169" customFormat="false" ht="13.8" hidden="false" customHeight="false" outlineLevel="0" collapsed="false">
      <c r="B169" s="3" t="n">
        <v>45111</v>
      </c>
      <c r="C169" s="2" t="n">
        <f aca="false">IF(B169=0,"-",B169-A168)</f>
        <v>28</v>
      </c>
      <c r="E169" s="2" t="n">
        <f aca="false">IF(B169=0,"-",E168+D169+C169)</f>
        <v>3683</v>
      </c>
      <c r="F169" s="5" t="n">
        <f aca="false">IF(B169=0,"-",E169*0.5)</f>
        <v>1841.5</v>
      </c>
      <c r="H169" s="4" t="str">
        <f aca="false">IF(B169=0,"-",IF(G168&gt;F169,"YES","NO"))</f>
        <v>NO</v>
      </c>
      <c r="I169" s="3" t="n">
        <f aca="false">IF(B169=0,"*",B169+(2*(F169-G168)))</f>
        <v>45478</v>
      </c>
      <c r="K169" s="5" t="n">
        <f aca="false">IF(B169=0,"*",F169-G168)</f>
        <v>183.5</v>
      </c>
    </row>
    <row r="170" customFormat="false" ht="13.8" hidden="false" customHeight="false" outlineLevel="0" collapsed="false">
      <c r="A170" s="3" t="n">
        <v>45135</v>
      </c>
      <c r="D170" s="2" t="n">
        <f aca="false">IF(A170=0,"-",A170-B169)</f>
        <v>24</v>
      </c>
      <c r="E170" s="2" t="n">
        <f aca="false">IF(A170=0,"-",E169+D170+C170)</f>
        <v>3707</v>
      </c>
      <c r="G170" s="2" t="n">
        <f aca="false">IF(A170=0,"-",D170+G168)</f>
        <v>1682</v>
      </c>
      <c r="J170" s="4" t="s">
        <v>17</v>
      </c>
    </row>
    <row r="171" customFormat="false" ht="13.8" hidden="false" customHeight="false" outlineLevel="0" collapsed="false">
      <c r="B171" s="3" t="n">
        <v>45155</v>
      </c>
      <c r="C171" s="2" t="n">
        <f aca="false">IF(B171=0,"-",B171-A170)</f>
        <v>20</v>
      </c>
      <c r="E171" s="2" t="n">
        <f aca="false">IF(B171=0,"-",E170+D171+C171)</f>
        <v>3727</v>
      </c>
      <c r="F171" s="5" t="n">
        <f aca="false">IF(B171=0,"-",E171*0.5)</f>
        <v>1863.5</v>
      </c>
      <c r="H171" s="4" t="str">
        <f aca="false">IF(B171=0,"-",IF(G170&gt;F171,"YES","NO"))</f>
        <v>NO</v>
      </c>
      <c r="I171" s="3" t="n">
        <f aca="false">IF(B171=0,"*",B171+(2*(F171-G170)))</f>
        <v>45518</v>
      </c>
      <c r="K171" s="5" t="n">
        <f aca="false">IF(B171=0,"*",F171-G170)</f>
        <v>181.5</v>
      </c>
    </row>
    <row r="172" customFormat="false" ht="13.8" hidden="false" customHeight="false" outlineLevel="0" collapsed="false">
      <c r="A172" s="3" t="n">
        <v>45173</v>
      </c>
      <c r="D172" s="2" t="n">
        <f aca="false">IF(A172=0,"-",A172-B171)</f>
        <v>18</v>
      </c>
      <c r="E172" s="2" t="n">
        <f aca="false">IF(A172=0,"-",E171+D172+C172)</f>
        <v>3745</v>
      </c>
      <c r="G172" s="2" t="n">
        <f aca="false">IF(A172=0,"-",D172+G170)</f>
        <v>1700</v>
      </c>
    </row>
    <row r="173" customFormat="false" ht="13.8" hidden="false" customHeight="false" outlineLevel="0" collapsed="false">
      <c r="B173" s="3" t="n">
        <v>45200</v>
      </c>
      <c r="C173" s="2" t="n">
        <f aca="false">IF(B173=0,"-",B173-A172)</f>
        <v>27</v>
      </c>
      <c r="E173" s="2" t="n">
        <f aca="false">IF(B173=0,"-",E172+D173+C173)</f>
        <v>3772</v>
      </c>
      <c r="F173" s="5" t="n">
        <f aca="false">IF(B173=0,"-",E173*0.5)</f>
        <v>1886</v>
      </c>
      <c r="H173" s="4" t="str">
        <f aca="false">IF(B173=0,"-",IF(G172&gt;F173,"YES","NO"))</f>
        <v>NO</v>
      </c>
      <c r="I173" s="3" t="n">
        <f aca="false">IF(B173=0,"*",B173+(2*(F173-G172)))</f>
        <v>45572</v>
      </c>
      <c r="K173" s="5" t="n">
        <f aca="false">IF(B173=0,"*",F173-G172)</f>
        <v>186</v>
      </c>
    </row>
    <row r="174" customFormat="false" ht="13.8" hidden="false" customHeight="false" outlineLevel="0" collapsed="false">
      <c r="A174" s="3" t="n">
        <v>45212</v>
      </c>
      <c r="D174" s="2" t="n">
        <f aca="false">IF(A174=0,"-",A174-B173)</f>
        <v>12</v>
      </c>
      <c r="E174" s="2" t="n">
        <f aca="false">IF(A174=0,"-",E173+D174+C174)</f>
        <v>3784</v>
      </c>
      <c r="G174" s="2" t="n">
        <f aca="false">IF(A174=0,"-",D174+G172)</f>
        <v>1712</v>
      </c>
      <c r="J174" s="4" t="s">
        <v>19</v>
      </c>
    </row>
    <row r="175" customFormat="false" ht="13.8" hidden="false" customHeight="false" outlineLevel="0" collapsed="false">
      <c r="B175" s="3" t="n">
        <v>45231</v>
      </c>
      <c r="C175" s="2" t="n">
        <f aca="false">IF(B175=0,"-",B175-A174)</f>
        <v>19</v>
      </c>
      <c r="E175" s="2" t="n">
        <f aca="false">IF(B175=0,"-",E174+D175+C175)</f>
        <v>3803</v>
      </c>
      <c r="F175" s="5" t="n">
        <f aca="false">IF(B175=0,"-",E175*0.5)</f>
        <v>1901.5</v>
      </c>
      <c r="H175" s="4" t="str">
        <f aca="false">IF(B175=0,"-",IF(G174&gt;F175,"YES","NO"))</f>
        <v>NO</v>
      </c>
      <c r="I175" s="3" t="n">
        <f aca="false">IF(B175=0,"*",B175+(2*(F175-G174)))</f>
        <v>45610</v>
      </c>
      <c r="K175" s="5" t="n">
        <f aca="false">IF(B175=0,"*",F175-G174)</f>
        <v>189.5</v>
      </c>
    </row>
    <row r="176" customFormat="false" ht="13.8" hidden="false" customHeight="false" outlineLevel="0" collapsed="false">
      <c r="A176" s="3" t="n">
        <v>45254</v>
      </c>
      <c r="D176" s="2" t="n">
        <f aca="false">IF(A176=0,"-",A176-B175)</f>
        <v>23</v>
      </c>
      <c r="E176" s="2" t="n">
        <f aca="false">IF(A176=0,"-",E175+D176+C176)</f>
        <v>3826</v>
      </c>
      <c r="G176" s="2" t="n">
        <f aca="false">IF(A176=0,"-",D176+G174)</f>
        <v>1735</v>
      </c>
      <c r="J176" s="4" t="s">
        <v>20</v>
      </c>
    </row>
    <row r="177" customFormat="false" ht="13.8" hidden="false" customHeight="false" outlineLevel="0" collapsed="false">
      <c r="B177" s="3" t="n">
        <v>45280</v>
      </c>
      <c r="C177" s="2" t="n">
        <f aca="false">IF(B177=0,"-",B177-A176)</f>
        <v>26</v>
      </c>
      <c r="E177" s="2" t="n">
        <f aca="false">IF(B177=0,"-",E176+D177+C177)</f>
        <v>3852</v>
      </c>
      <c r="F177" s="5" t="n">
        <f aca="false">IF(B177=0,"-",E177*0.5)</f>
        <v>1926</v>
      </c>
      <c r="H177" s="4" t="str">
        <f aca="false">IF(B177=0,"-",IF(G176&gt;F177,"YES","NO"))</f>
        <v>NO</v>
      </c>
      <c r="I177" s="3" t="n">
        <f aca="false">IF(B177=0,"*",B177+(2*(F177-G176)))</f>
        <v>45662</v>
      </c>
      <c r="K177" s="5" t="n">
        <f aca="false">IF(B177=0,"*",F177-G176)</f>
        <v>191</v>
      </c>
    </row>
    <row r="178" customFormat="false" ht="13.8" hidden="false" customHeight="false" outlineLevel="0" collapsed="false">
      <c r="A178" s="3" t="n">
        <v>45297</v>
      </c>
      <c r="D178" s="2" t="n">
        <f aca="false">IF(A178=0,"-",A178-B177)</f>
        <v>17</v>
      </c>
      <c r="E178" s="2" t="n">
        <f aca="false">IF(A178=0,"-",E177+D178+C178)</f>
        <v>3869</v>
      </c>
      <c r="G178" s="2" t="n">
        <f aca="false">IF(A178=0,"-",D178+G176)</f>
        <v>1752</v>
      </c>
      <c r="J178" s="4" t="s">
        <v>11</v>
      </c>
    </row>
    <row r="179" customFormat="false" ht="13.8" hidden="false" customHeight="false" outlineLevel="0" collapsed="false">
      <c r="B179" s="3" t="n">
        <v>45315</v>
      </c>
      <c r="C179" s="2" t="n">
        <f aca="false">IF(B179=0,"-",B179-A178)</f>
        <v>18</v>
      </c>
      <c r="E179" s="2" t="n">
        <f aca="false">IF(B179=0,"-",E178+D179+C179)</f>
        <v>3887</v>
      </c>
      <c r="F179" s="5" t="n">
        <f aca="false">IF(B179=0,"-",E179*0.5)</f>
        <v>1943.5</v>
      </c>
      <c r="H179" s="4" t="str">
        <f aca="false">IF(B179=0,"-",IF(G178&gt;F179,"YES","NO"))</f>
        <v>NO</v>
      </c>
      <c r="I179" s="3" t="n">
        <f aca="false">IF(B179=0,"*",B179+(2*(F179-G178)))</f>
        <v>45698</v>
      </c>
      <c r="K179" s="5" t="n">
        <f aca="false">IF(B179=0,"*",F179-G178)</f>
        <v>191.5</v>
      </c>
    </row>
    <row r="180" customFormat="false" ht="13.8" hidden="false" customHeight="false" outlineLevel="0" collapsed="false">
      <c r="A180" s="3" t="n">
        <v>45343</v>
      </c>
      <c r="D180" s="2" t="n">
        <f aca="false">IF(A180=0,"-",A180-B179)</f>
        <v>28</v>
      </c>
      <c r="E180" s="2" t="n">
        <f aca="false">IF(A180=0,"-",E179+D180+C180)</f>
        <v>3915</v>
      </c>
      <c r="G180" s="2" t="n">
        <f aca="false">IF(A180=0,"-",D180+G178)</f>
        <v>1780</v>
      </c>
      <c r="J180" s="4" t="s">
        <v>12</v>
      </c>
    </row>
    <row r="181" customFormat="false" ht="13.8" hidden="false" customHeight="false" outlineLevel="0" collapsed="false">
      <c r="B181" s="3" t="n">
        <v>45368</v>
      </c>
      <c r="C181" s="2" t="n">
        <f aca="false">IF(B181=0,"-",B181-A180)</f>
        <v>25</v>
      </c>
      <c r="E181" s="2" t="n">
        <f aca="false">IF(B181=0,"-",E180+D181+C181)</f>
        <v>3940</v>
      </c>
      <c r="F181" s="5" t="n">
        <f aca="false">IF(B181=0,"-",E181*0.5)</f>
        <v>1970</v>
      </c>
      <c r="H181" s="4" t="str">
        <f aca="false">IF(B181=0,"-",IF(G180&gt;F181,"YES","NO"))</f>
        <v>NO</v>
      </c>
      <c r="I181" s="3" t="n">
        <f aca="false">IF(B181=0,"*",B181+(2*(F181-G180)))</f>
        <v>45748</v>
      </c>
      <c r="K181" s="5" t="n">
        <f aca="false">IF(B181=0,"*",F181-G180)</f>
        <v>190</v>
      </c>
    </row>
    <row r="182" customFormat="false" ht="13.8" hidden="false" customHeight="false" outlineLevel="0" collapsed="false">
      <c r="A182" s="3" t="n">
        <v>45390</v>
      </c>
      <c r="D182" s="2" t="n">
        <f aca="false">IF(A182=0,"-",A182-B181)</f>
        <v>22</v>
      </c>
      <c r="E182" s="2" t="n">
        <f aca="false">IF(A182=0,"-",E181+D182+C182)</f>
        <v>3962</v>
      </c>
      <c r="G182" s="2" t="n">
        <f aca="false">IF(A182=0,"-",D182+G180)</f>
        <v>1802</v>
      </c>
      <c r="J182" s="4" t="s">
        <v>27</v>
      </c>
    </row>
    <row r="183" customFormat="false" ht="13.8" hidden="false" customHeight="false" outlineLevel="0" collapsed="false">
      <c r="B183" s="3" t="n">
        <v>45407</v>
      </c>
      <c r="C183" s="2" t="n">
        <f aca="false">IF(B183=0,"-",B183-A182)</f>
        <v>17</v>
      </c>
      <c r="E183" s="2" t="n">
        <f aca="false">IF(B183=0,"-",E182+D183+C183)</f>
        <v>3979</v>
      </c>
      <c r="F183" s="5" t="n">
        <f aca="false">IF(B183=0,"-",E183*0.5)</f>
        <v>1989.5</v>
      </c>
      <c r="H183" s="4" t="str">
        <f aca="false">IF(B183=0,"-",IF(G182&gt;F183,"YES","NO"))</f>
        <v>NO</v>
      </c>
      <c r="I183" s="3" t="n">
        <f aca="false">IF(B183=0,"*",B183+(2*(F183-G182)))</f>
        <v>45782</v>
      </c>
      <c r="K183" s="5" t="n">
        <f aca="false">IF(B183=0,"*",F183-G182)</f>
        <v>187.5</v>
      </c>
    </row>
    <row r="184" customFormat="false" ht="13.8" hidden="false" customHeight="false" outlineLevel="0" collapsed="false">
      <c r="A184" s="3" t="n">
        <v>45423</v>
      </c>
      <c r="D184" s="2" t="n">
        <f aca="false">IF(A184=0,"-",A184-B183)</f>
        <v>16</v>
      </c>
      <c r="E184" s="2" t="n">
        <f aca="false">IF(A184=0,"-",E183+D184+C184)</f>
        <v>3995</v>
      </c>
      <c r="G184" s="2" t="n">
        <f aca="false">IF(A184=0,"-",D184+G182)</f>
        <v>1818</v>
      </c>
      <c r="J184" s="4" t="s">
        <v>14</v>
      </c>
    </row>
    <row r="185" customFormat="false" ht="13.8" hidden="false" customHeight="false" outlineLevel="0" collapsed="false">
      <c r="B185" s="3" t="n">
        <v>45447</v>
      </c>
      <c r="C185" s="2" t="n">
        <f aca="false">IF(B185=0,"-",B185-A184)</f>
        <v>24</v>
      </c>
      <c r="E185" s="2" t="n">
        <f aca="false">IF(B185=0,"-",E184+D185+C185)</f>
        <v>4019</v>
      </c>
      <c r="F185" s="5" t="n">
        <f aca="false">IF(B185=0,"-",E185*0.5)</f>
        <v>2009.5</v>
      </c>
      <c r="H185" s="4" t="str">
        <f aca="false">IF(B185=0,"-",IF(G184&gt;F185,"YES","NO"))</f>
        <v>NO</v>
      </c>
      <c r="I185" s="3" t="n">
        <f aca="false">IF(B185=0,"*",B185+(2*(F185-G184)))</f>
        <v>45830</v>
      </c>
      <c r="K185" s="5" t="n">
        <f aca="false">IF(B185=0,"*",F185-G184)</f>
        <v>191.5</v>
      </c>
    </row>
    <row r="186" customFormat="false" ht="13.8" hidden="false" customHeight="false" outlineLevel="0" collapsed="false">
      <c r="A186" s="3" t="n">
        <v>45474</v>
      </c>
      <c r="D186" s="2" t="n">
        <f aca="false">IF(A186=0,"-",A186-B185)</f>
        <v>27</v>
      </c>
      <c r="E186" s="2" t="n">
        <f aca="false">IF(A186=0,"-",E185+D186+C186)</f>
        <v>4046</v>
      </c>
      <c r="G186" s="2" t="n">
        <f aca="false">IF(A186=0,"-",D186+G184)</f>
        <v>1845</v>
      </c>
      <c r="J186" s="4" t="s">
        <v>21</v>
      </c>
    </row>
    <row r="187" customFormat="false" ht="13.8" hidden="false" customHeight="false" outlineLevel="0" collapsed="false">
      <c r="B187" s="3" t="n">
        <v>45505</v>
      </c>
      <c r="C187" s="2" t="n">
        <f aca="false">IF(B187=0,"-",B187-A186)</f>
        <v>31</v>
      </c>
      <c r="E187" s="2" t="n">
        <f aca="false">IF(B187=0,"-",E186+D187+C187)</f>
        <v>4077</v>
      </c>
      <c r="F187" s="5" t="n">
        <f aca="false">IF(B187=0,"-",E187*0.5)</f>
        <v>2038.5</v>
      </c>
      <c r="H187" s="4" t="str">
        <f aca="false">IF(B187=0,"-",IF(G186&gt;F187,"YES","NO"))</f>
        <v>NO</v>
      </c>
      <c r="I187" s="3" t="n">
        <f aca="false">IF(B187=0,"*",B187+(2*(F187-G186)))</f>
        <v>45892</v>
      </c>
      <c r="K187" s="5" t="n">
        <f aca="false">IF(B187=0,"*",F187-G186)</f>
        <v>193.5</v>
      </c>
    </row>
    <row r="188" customFormat="false" ht="13.8" hidden="false" customHeight="false" outlineLevel="0" collapsed="false">
      <c r="A188" s="3" t="n">
        <v>45526</v>
      </c>
      <c r="D188" s="2" t="n">
        <f aca="false">IF(A188=0,"-",A188-B187)</f>
        <v>21</v>
      </c>
      <c r="E188" s="2" t="n">
        <f aca="false">IF(A188=0,"-",E187+D188+C188)</f>
        <v>4098</v>
      </c>
      <c r="G188" s="2" t="n">
        <f aca="false">IF(A188=0,"-",D188+G186)</f>
        <v>1866</v>
      </c>
      <c r="J188" s="4" t="s">
        <v>22</v>
      </c>
    </row>
    <row r="189" customFormat="false" ht="13.8" hidden="false" customHeight="false" outlineLevel="0" collapsed="false">
      <c r="B189" s="3" t="n">
        <v>45549</v>
      </c>
      <c r="C189" s="2" t="n">
        <f aca="false">IF(B189=0,"-",B189-A188)</f>
        <v>23</v>
      </c>
      <c r="E189" s="2" t="n">
        <f aca="false">IF(B189=0,"-",E188+D189+C189)</f>
        <v>4121</v>
      </c>
      <c r="F189" s="5" t="n">
        <f aca="false">IF(B189=0,"-",E189*0.5)</f>
        <v>2060.5</v>
      </c>
      <c r="H189" s="4" t="str">
        <f aca="false">IF(B189=0,"-",IF(G188&gt;F189,"YES","NO"))</f>
        <v>NO</v>
      </c>
      <c r="I189" s="3" t="n">
        <f aca="false">IF(B189=0,"*",B189+(2*(F189-G188)))</f>
        <v>45938</v>
      </c>
      <c r="K189" s="5" t="n">
        <f aca="false">IF(B189=0,"*",F189-G188)</f>
        <v>194.5</v>
      </c>
    </row>
    <row r="190" customFormat="false" ht="13.8" hidden="false" customHeight="false" outlineLevel="0" collapsed="false">
      <c r="A190" s="3" t="n">
        <v>45564</v>
      </c>
      <c r="D190" s="2" t="n">
        <f aca="false">IF(A190=0,"-",A190-B189)</f>
        <v>15</v>
      </c>
      <c r="E190" s="2" t="n">
        <f aca="false">IF(A190=0,"-",E189+D190+C190)</f>
        <v>4136</v>
      </c>
      <c r="G190" s="2" t="n">
        <f aca="false">IF(A190=0,"-",D190+G188)</f>
        <v>1881</v>
      </c>
    </row>
    <row r="191" customFormat="false" ht="13.8" hidden="false" customHeight="false" outlineLevel="0" collapsed="false">
      <c r="B191" s="3" t="n">
        <v>45594</v>
      </c>
      <c r="C191" s="2" t="n">
        <f aca="false">IF(B191=0,"-",B191-A190)</f>
        <v>30</v>
      </c>
      <c r="E191" s="2" t="n">
        <f aca="false">IF(B191=0,"-",E190+D191+C191)</f>
        <v>4166</v>
      </c>
      <c r="F191" s="5" t="n">
        <f aca="false">IF(B191=0,"-",E191*0.5)</f>
        <v>2083</v>
      </c>
      <c r="H191" s="4" t="str">
        <f aca="false">IF(B191=0,"-",IF(G190&gt;F191,"YES","NO"))</f>
        <v>NO</v>
      </c>
      <c r="I191" s="3" t="n">
        <f aca="false">IF(B191=0,"*",B191+(2*(F191-G190)))</f>
        <v>45998</v>
      </c>
      <c r="K191" s="5" t="n">
        <f aca="false">IF(B191=0,"*",F191-G190)</f>
        <v>202</v>
      </c>
    </row>
    <row r="192" customFormat="false" ht="13.8" hidden="false" customHeight="false" outlineLevel="0" collapsed="false">
      <c r="A192" s="3" t="n">
        <v>45620</v>
      </c>
      <c r="D192" s="2" t="n">
        <f aca="false">IF(A192=0,"-",A192-B191)</f>
        <v>26</v>
      </c>
      <c r="E192" s="2" t="n">
        <f aca="false">IF(A192=0,"-",E191+D192+C192)</f>
        <v>4192</v>
      </c>
      <c r="G192" s="2" t="n">
        <f aca="false">IF(A192=0,"-",D192+G190)</f>
        <v>1907</v>
      </c>
      <c r="J192" s="4" t="s">
        <v>17</v>
      </c>
    </row>
    <row r="193" customFormat="false" ht="13.8" hidden="false" customHeight="false" outlineLevel="0" collapsed="false">
      <c r="B193" s="3" t="n">
        <v>45642</v>
      </c>
      <c r="C193" s="2" t="n">
        <f aca="false">IF(B193=0,"-",B193-A192)</f>
        <v>22</v>
      </c>
      <c r="E193" s="2" t="n">
        <f aca="false">IF(B193=0,"-",E192+D193+C193)</f>
        <v>4214</v>
      </c>
      <c r="F193" s="5" t="n">
        <f aca="false">IF(B193=0,"-",E193*0.5)</f>
        <v>2107</v>
      </c>
      <c r="H193" s="4" t="str">
        <f aca="false">IF(B193=0,"-",IF(G192&gt;F193,"YES","NO"))</f>
        <v>NO</v>
      </c>
      <c r="I193" s="3" t="n">
        <f aca="false">IF(B193=0,"*",B193+(2*(F193-G192)))</f>
        <v>46042</v>
      </c>
      <c r="K193" s="5" t="n">
        <f aca="false">IF(B193=0,"*",F193-G192)</f>
        <v>200</v>
      </c>
    </row>
    <row r="194" customFormat="false" ht="13.8" hidden="false" customHeight="false" outlineLevel="0" collapsed="false">
      <c r="A194" s="3" t="n">
        <v>45662</v>
      </c>
      <c r="D194" s="2" t="n">
        <f aca="false">IF(A194=0,"-",A194-B193)</f>
        <v>20</v>
      </c>
      <c r="E194" s="2" t="n">
        <f aca="false">IF(A194=0,"-",E193+D194+C194)</f>
        <v>4234</v>
      </c>
      <c r="G194" s="2" t="n">
        <f aca="false">IF(A194=0,"-",D194+G192)</f>
        <v>1927</v>
      </c>
      <c r="J194" s="4" t="s">
        <v>18</v>
      </c>
    </row>
    <row r="195" customFormat="false" ht="13.8" hidden="false" customHeight="false" outlineLevel="0" collapsed="false">
      <c r="B195" s="3" t="n">
        <v>45691</v>
      </c>
      <c r="C195" s="2" t="n">
        <f aca="false">IF(B195=0,"-",B195-A194)</f>
        <v>29</v>
      </c>
      <c r="E195" s="2" t="n">
        <f aca="false">IF(B195=0,"-",E194+D195+C195)</f>
        <v>4263</v>
      </c>
      <c r="F195" s="5" t="n">
        <f aca="false">IF(B195=0,"-",E195*0.5)</f>
        <v>2131.5</v>
      </c>
      <c r="H195" s="4" t="str">
        <f aca="false">IF(B195=0,"-",IF(G194&gt;F195,"YES","NO"))</f>
        <v>NO</v>
      </c>
      <c r="I195" s="3" t="n">
        <f aca="false">IF(B195=0,"*",B195+(2*(F195-G194)))</f>
        <v>46100</v>
      </c>
      <c r="K195" s="5" t="n">
        <f aca="false">IF(B195=0,"*",F195-G194)</f>
        <v>204.5</v>
      </c>
    </row>
    <row r="196" customFormat="false" ht="13.8" hidden="false" customHeight="false" outlineLevel="0" collapsed="false">
      <c r="A196" s="3" t="n">
        <v>45705</v>
      </c>
      <c r="D196" s="2" t="n">
        <f aca="false">IF(A196=0,"-",A196-B195)</f>
        <v>14</v>
      </c>
      <c r="E196" s="2" t="n">
        <f aca="false">IF(A196=0,"-",E195+D196+C196)</f>
        <v>4277</v>
      </c>
      <c r="G196" s="2" t="n">
        <f aca="false">IF(A196=0,"-",D196+G194)</f>
        <v>1941</v>
      </c>
      <c r="J196" s="4" t="s">
        <v>19</v>
      </c>
    </row>
    <row r="197" customFormat="false" ht="13.8" hidden="false" customHeight="false" outlineLevel="0" collapsed="false">
      <c r="B197" s="3" t="n">
        <v>45726</v>
      </c>
      <c r="C197" s="2" t="n">
        <f aca="false">IF(B197=0,"-",B197-A196)</f>
        <v>21</v>
      </c>
      <c r="E197" s="2" t="n">
        <f aca="false">IF(B197=0,"-",E196+D197+C197)</f>
        <v>4298</v>
      </c>
      <c r="F197" s="5" t="n">
        <f aca="false">IF(B197=0,"-",E197*0.5)</f>
        <v>2149</v>
      </c>
      <c r="H197" s="4" t="str">
        <f aca="false">IF(B197=0,"-",IF(G196&gt;F197,"YES","NO"))</f>
        <v>NO</v>
      </c>
      <c r="I197" s="3" t="n">
        <f aca="false">IF(B197=0,"*",B197+(2*(F197-G196)))</f>
        <v>46142</v>
      </c>
      <c r="K197" s="5" t="n">
        <f aca="false">IF(B197=0,"*",F197-G196)</f>
        <v>208</v>
      </c>
    </row>
    <row r="198" customFormat="false" ht="13.8" hidden="false" customHeight="false" outlineLevel="0" collapsed="false">
      <c r="A198" s="3" t="n">
        <v>45751</v>
      </c>
      <c r="D198" s="2" t="n">
        <f aca="false">IF(A198=0,"-",A198-B197)</f>
        <v>25</v>
      </c>
      <c r="E198" s="2" t="n">
        <f aca="false">IF(A198=0,"-",E197+D198+C198)</f>
        <v>4323</v>
      </c>
      <c r="G198" s="2" t="n">
        <f aca="false">IF(A198=0,"-",D198+G196)</f>
        <v>1966</v>
      </c>
      <c r="J198" s="4" t="s">
        <v>20</v>
      </c>
    </row>
    <row r="199" customFormat="false" ht="13.8" hidden="false" customHeight="false" outlineLevel="0" collapsed="false">
      <c r="B199" s="3" t="n">
        <v>45779</v>
      </c>
      <c r="C199" s="2" t="n">
        <f aca="false">IF(B199=0,"-",B199-A198)</f>
        <v>28</v>
      </c>
      <c r="E199" s="2" t="n">
        <f aca="false">IF(B199=0,"-",E198+D199+C199)</f>
        <v>4351</v>
      </c>
      <c r="F199" s="5" t="n">
        <f aca="false">IF(B199=0,"-",E199*0.5)</f>
        <v>2175.5</v>
      </c>
      <c r="H199" s="4" t="str">
        <f aca="false">IF(B199=0,"-",IF(G198&gt;F199,"YES","NO"))</f>
        <v>NO</v>
      </c>
      <c r="I199" s="3" t="n">
        <f aca="false">IF(B199=0,"*",B199+(2*(F199-G198)))</f>
        <v>46198</v>
      </c>
      <c r="K199" s="5" t="n">
        <f aca="false">IF(B199=0,"*",F199-G198)</f>
        <v>209.5</v>
      </c>
    </row>
    <row r="200" customFormat="false" ht="13.8" hidden="false" customHeight="false" outlineLevel="0" collapsed="false">
      <c r="A200" s="3" t="n">
        <v>45798</v>
      </c>
      <c r="D200" s="2" t="n">
        <f aca="false">IF(A200=0,"-",A200-B199)</f>
        <v>19</v>
      </c>
      <c r="E200" s="2" t="n">
        <f aca="false">IF(A200=0,"-",E199+D200+C200)</f>
        <v>4370</v>
      </c>
      <c r="G200" s="2" t="n">
        <f aca="false">IF(A200=0,"-",D200+G198)</f>
        <v>1985</v>
      </c>
      <c r="J200" s="4" t="s">
        <v>11</v>
      </c>
    </row>
    <row r="201" customFormat="false" ht="13.8" hidden="false" customHeight="false" outlineLevel="0" collapsed="false">
      <c r="B201" s="3" t="n">
        <v>45818</v>
      </c>
      <c r="C201" s="2" t="n">
        <f aca="false">IF(B201=0,"-",B201-A200)</f>
        <v>20</v>
      </c>
      <c r="E201" s="2" t="n">
        <f aca="false">IF(B201=0,"-",E200+D201+C201)</f>
        <v>4390</v>
      </c>
      <c r="F201" s="5" t="n">
        <f aca="false">IF(B201=0,"-",E201*0.5)</f>
        <v>2195</v>
      </c>
      <c r="H201" s="4" t="str">
        <f aca="false">IF(B201=0,"-",IF(G200&gt;F201,"YES","NO"))</f>
        <v>NO</v>
      </c>
      <c r="I201" s="3" t="n">
        <f aca="false">IF(B201=0,"*",B201+(2*(F201-G200)))</f>
        <v>46238</v>
      </c>
      <c r="K201" s="5" t="n">
        <f aca="false">IF(B201=0,"*",F201-G200)</f>
        <v>210</v>
      </c>
    </row>
    <row r="202" customFormat="false" ht="13.8" hidden="false" customHeight="false" outlineLevel="0" collapsed="false">
      <c r="A202" s="3"/>
      <c r="D202" s="2" t="str">
        <f aca="false">IF(A202=0,"-",A202-B201)</f>
        <v>-</v>
      </c>
      <c r="E202" s="2" t="str">
        <f aca="false">IF(A202=0,"-",E201+D202+C202)</f>
        <v>-</v>
      </c>
      <c r="G202" s="2" t="str">
        <f aca="false">IF(A202=0,"-",D202+G200)</f>
        <v>-</v>
      </c>
    </row>
    <row r="203" customFormat="false" ht="13.8" hidden="false" customHeight="false" outlineLevel="0" collapsed="false">
      <c r="B203" s="3"/>
      <c r="C203" s="2" t="str">
        <f aca="false">IF(B203=0,"-",B203-A202)</f>
        <v>-</v>
      </c>
      <c r="E203" s="2" t="str">
        <f aca="false">IF(B203=0,"-",E202+D203+C203)</f>
        <v>-</v>
      </c>
      <c r="F203" s="5" t="str">
        <f aca="false">IF(B203=0,"-",E203*0.5)</f>
        <v>-</v>
      </c>
      <c r="H203" s="4" t="str">
        <f aca="false">IF(B203=0,"-",IF(G202&gt;F203,"YES","NO"))</f>
        <v>-</v>
      </c>
      <c r="I203" s="3" t="str">
        <f aca="false">IF(B203=0,"*",B203+(2*(F203-G202)))</f>
        <v>*</v>
      </c>
      <c r="K203" s="5" t="str">
        <f aca="false">IF(B203=0,"*",F203-G202)</f>
        <v>*</v>
      </c>
    </row>
    <row r="204" customFormat="false" ht="13.8" hidden="false" customHeight="false" outlineLevel="0" collapsed="false">
      <c r="A204" s="3"/>
      <c r="D204" s="2" t="str">
        <f aca="false">IF(A204=0,"-",A204-B203)</f>
        <v>-</v>
      </c>
      <c r="E204" s="2" t="str">
        <f aca="false">IF(A204=0,"-",E203+D204+C204)</f>
        <v>-</v>
      </c>
      <c r="G204" s="2" t="str">
        <f aca="false">IF(A204=0,"-",D204+G202)</f>
        <v>-</v>
      </c>
    </row>
    <row r="205" customFormat="false" ht="13.8" hidden="false" customHeight="false" outlineLevel="0" collapsed="false">
      <c r="B205" s="3"/>
      <c r="C205" s="2" t="str">
        <f aca="false">IF(B205=0,"-",B205-A204)</f>
        <v>-</v>
      </c>
      <c r="E205" s="2" t="str">
        <f aca="false">IF(B205=0,"-",E204+D205+C205)</f>
        <v>-</v>
      </c>
      <c r="F205" s="5" t="str">
        <f aca="false">IF(B205=0,"-",E205*0.5)</f>
        <v>-</v>
      </c>
      <c r="H205" s="4" t="str">
        <f aca="false">IF(B205=0,"-",IF(G204&gt;F205,"YES","NO"))</f>
        <v>-</v>
      </c>
      <c r="I205" s="3" t="str">
        <f aca="false">IF(B205=0,"*",B205+(2*(F205-G204)))</f>
        <v>*</v>
      </c>
      <c r="K205" s="5" t="str">
        <f aca="false">IF(B205=0,"*",F205-G204)</f>
        <v>*</v>
      </c>
    </row>
    <row r="206" customFormat="false" ht="13.8" hidden="false" customHeight="false" outlineLevel="0" collapsed="false">
      <c r="A206" s="3"/>
      <c r="D206" s="2" t="str">
        <f aca="false">IF(A206=0,"-",A206-B205)</f>
        <v>-</v>
      </c>
      <c r="E206" s="2" t="str">
        <f aca="false">IF(A206=0,"-",E205+D206+C206)</f>
        <v>-</v>
      </c>
      <c r="G206" s="2" t="str">
        <f aca="false">IF(A206=0,"-",D206+G204)</f>
        <v>-</v>
      </c>
    </row>
    <row r="207" customFormat="false" ht="13.8" hidden="false" customHeight="false" outlineLevel="0" collapsed="false">
      <c r="B207" s="3"/>
      <c r="C207" s="2" t="str">
        <f aca="false">IF(B207=0,"-",B207-A206)</f>
        <v>-</v>
      </c>
      <c r="E207" s="2" t="str">
        <f aca="false">IF(B207=0,"-",E206+D207+C207)</f>
        <v>-</v>
      </c>
      <c r="F207" s="5" t="str">
        <f aca="false">IF(B207=0,"-",E207*0.5)</f>
        <v>-</v>
      </c>
      <c r="H207" s="4" t="str">
        <f aca="false">IF(B207=0,"-",IF(G206&gt;F207,"YES","NO"))</f>
        <v>-</v>
      </c>
      <c r="I207" s="3" t="str">
        <f aca="false">IF(B207=0,"*",B207+(2*(F207-G206)))</f>
        <v>*</v>
      </c>
      <c r="K207" s="5" t="str">
        <f aca="false">IF(B207=0,"*",F207-G206)</f>
        <v>*</v>
      </c>
    </row>
    <row r="208" customFormat="false" ht="13.8" hidden="false" customHeight="false" outlineLevel="0" collapsed="false">
      <c r="A208" s="3"/>
      <c r="D208" s="2" t="str">
        <f aca="false">IF(A208=0,"-",A208-B207)</f>
        <v>-</v>
      </c>
      <c r="E208" s="2" t="str">
        <f aca="false">IF(A208=0,"-",E207+D208+C208)</f>
        <v>-</v>
      </c>
      <c r="G208" s="2" t="str">
        <f aca="false">IF(A208=0,"-",D208+G206)</f>
        <v>-</v>
      </c>
    </row>
    <row r="209" customFormat="false" ht="13.8" hidden="false" customHeight="false" outlineLevel="0" collapsed="false">
      <c r="B209" s="3"/>
      <c r="C209" s="2" t="str">
        <f aca="false">IF(B209=0,"-",B209-A208)</f>
        <v>-</v>
      </c>
      <c r="E209" s="2" t="str">
        <f aca="false">IF(B209=0,"-",E208+D209+C209)</f>
        <v>-</v>
      </c>
      <c r="F209" s="5" t="str">
        <f aca="false">IF(B209=0,"-",E209*0.5)</f>
        <v>-</v>
      </c>
      <c r="H209" s="4" t="str">
        <f aca="false">IF(B209=0,"-",IF(G208&gt;F209,"YES","NO"))</f>
        <v>-</v>
      </c>
      <c r="I209" s="3" t="str">
        <f aca="false">IF(B209=0,"*",B209+(2*(F209-G208)))</f>
        <v>*</v>
      </c>
      <c r="K209" s="5" t="str">
        <f aca="false">IF(B209=0,"*",F209-G208)</f>
        <v>*</v>
      </c>
    </row>
    <row r="210" customFormat="false" ht="13.8" hidden="false" customHeight="false" outlineLevel="0" collapsed="false">
      <c r="A210" s="3"/>
      <c r="D210" s="2" t="str">
        <f aca="false">IF(A210=0,"-",A210-B209)</f>
        <v>-</v>
      </c>
      <c r="E210" s="2" t="str">
        <f aca="false">IF(A210=0,"-",E209+D210+C210)</f>
        <v>-</v>
      </c>
      <c r="G210" s="2" t="str">
        <f aca="false">IF(A210=0,"-",D210+G208)</f>
        <v>-</v>
      </c>
    </row>
    <row r="211" customFormat="false" ht="13.8" hidden="false" customHeight="false" outlineLevel="0" collapsed="false">
      <c r="B211" s="3"/>
      <c r="C211" s="2" t="str">
        <f aca="false">IF(B211=0,"-",B211-A210)</f>
        <v>-</v>
      </c>
      <c r="E211" s="2" t="str">
        <f aca="false">IF(B211=0,"-",E210+D211+C211)</f>
        <v>-</v>
      </c>
      <c r="F211" s="5" t="str">
        <f aca="false">IF(B211=0,"-",E211*0.5)</f>
        <v>-</v>
      </c>
      <c r="H211" s="4" t="str">
        <f aca="false">IF(B211=0,"-",IF(G210&gt;F211,"YES","NO"))</f>
        <v>-</v>
      </c>
      <c r="I211" s="3" t="str">
        <f aca="false">IF(B211=0,"*",B211+(2*(F211-G210)))</f>
        <v>*</v>
      </c>
      <c r="K211" s="5" t="str">
        <f aca="false">IF(B211=0,"*",F211-G210)</f>
        <v>*</v>
      </c>
    </row>
    <row r="212" customFormat="false" ht="13.8" hidden="false" customHeight="false" outlineLevel="0" collapsed="false">
      <c r="A212" s="3"/>
      <c r="D212" s="2" t="str">
        <f aca="false">IF(A212=0,"-",A212-B211)</f>
        <v>-</v>
      </c>
      <c r="E212" s="2" t="str">
        <f aca="false">IF(A212=0,"-",E211+D212+C212)</f>
        <v>-</v>
      </c>
      <c r="G212" s="2" t="str">
        <f aca="false">IF(A212=0,"-",D212+G210)</f>
        <v>-</v>
      </c>
    </row>
    <row r="213" customFormat="false" ht="13.8" hidden="false" customHeight="false" outlineLevel="0" collapsed="false">
      <c r="B213" s="3"/>
      <c r="C213" s="2" t="str">
        <f aca="false">IF(B213=0,"-",B213-A212)</f>
        <v>-</v>
      </c>
      <c r="E213" s="2" t="str">
        <f aca="false">IF(B213=0,"-",E212+D213+C213)</f>
        <v>-</v>
      </c>
      <c r="F213" s="5" t="str">
        <f aca="false">IF(B213=0,"-",E213*0.5)</f>
        <v>-</v>
      </c>
      <c r="H213" s="4" t="str">
        <f aca="false">IF(B213=0,"-",IF(G212&gt;F213,"YES","NO"))</f>
        <v>-</v>
      </c>
      <c r="I213" s="3" t="str">
        <f aca="false">IF(B213=0,"*",B213+(2*(F213-G212)))</f>
        <v>*</v>
      </c>
      <c r="K213" s="5" t="str">
        <f aca="false">IF(B213=0,"*",F213-G212)</f>
        <v>*</v>
      </c>
    </row>
    <row r="214" customFormat="false" ht="13.8" hidden="false" customHeight="false" outlineLevel="0" collapsed="false">
      <c r="A214" s="3"/>
      <c r="D214" s="2" t="str">
        <f aca="false">IF(A214=0,"-",A214-B213)</f>
        <v>-</v>
      </c>
      <c r="E214" s="2" t="str">
        <f aca="false">IF(A214=0,"-",E213+D214+C214)</f>
        <v>-</v>
      </c>
      <c r="G214" s="2" t="str">
        <f aca="false">IF(A214=0,"-",D214+G212)</f>
        <v>-</v>
      </c>
    </row>
    <row r="215" customFormat="false" ht="13.8" hidden="false" customHeight="false" outlineLevel="0" collapsed="false">
      <c r="B215" s="3"/>
      <c r="C215" s="2" t="str">
        <f aca="false">IF(B215=0,"-",B215-A214)</f>
        <v>-</v>
      </c>
      <c r="E215" s="2" t="str">
        <f aca="false">IF(B215=0,"-",E214+D215+C215)</f>
        <v>-</v>
      </c>
      <c r="F215" s="5" t="str">
        <f aca="false">IF(B215=0,"-",E215*0.5)</f>
        <v>-</v>
      </c>
      <c r="H215" s="4" t="str">
        <f aca="false">IF(B215=0,"-",IF(G214&gt;F215,"YES","NO"))</f>
        <v>-</v>
      </c>
      <c r="I215" s="3" t="str">
        <f aca="false">IF(B215=0,"*",B215+(2*(F215-G214)))</f>
        <v>*</v>
      </c>
      <c r="K215" s="5" t="str">
        <f aca="false">IF(B215=0,"*",F215-G214)</f>
        <v>*</v>
      </c>
    </row>
    <row r="216" customFormat="false" ht="13.8" hidden="false" customHeight="false" outlineLevel="0" collapsed="false">
      <c r="A216" s="3"/>
      <c r="D216" s="2" t="str">
        <f aca="false">IF(A216=0,"-",A216-B215)</f>
        <v>-</v>
      </c>
      <c r="E216" s="2" t="str">
        <f aca="false">IF(A216=0,"-",E215+D216+C216)</f>
        <v>-</v>
      </c>
      <c r="G216" s="2" t="str">
        <f aca="false">IF(A216=0,"-",D216+G214)</f>
        <v>-</v>
      </c>
    </row>
    <row r="217" customFormat="false" ht="13.8" hidden="false" customHeight="false" outlineLevel="0" collapsed="false">
      <c r="B217" s="3"/>
      <c r="C217" s="2" t="str">
        <f aca="false">IF(B217=0,"-",B217-A216)</f>
        <v>-</v>
      </c>
      <c r="E217" s="2" t="str">
        <f aca="false">IF(B217=0,"-",E216+D217+C217)</f>
        <v>-</v>
      </c>
      <c r="F217" s="5" t="str">
        <f aca="false">IF(B217=0,"-",E217*0.5)</f>
        <v>-</v>
      </c>
      <c r="H217" s="4" t="str">
        <f aca="false">IF(B217=0,"-",IF(G216&gt;F217,"YES","NO"))</f>
        <v>-</v>
      </c>
      <c r="I217" s="3" t="str">
        <f aca="false">IF(B217=0,"*",B217+(2*(F217-G216)))</f>
        <v>*</v>
      </c>
      <c r="K217" s="5" t="str">
        <f aca="false">IF(B217=0,"*",F217-G216)</f>
        <v>*</v>
      </c>
    </row>
    <row r="218" customFormat="false" ht="13.8" hidden="false" customHeight="false" outlineLevel="0" collapsed="false">
      <c r="A218" s="3"/>
      <c r="D218" s="2" t="str">
        <f aca="false">IF(A218=0,"-",A218-B217)</f>
        <v>-</v>
      </c>
      <c r="E218" s="2" t="str">
        <f aca="false">IF(A218=0,"-",E217+D218+C218)</f>
        <v>-</v>
      </c>
      <c r="G218" s="2" t="str">
        <f aca="false">IF(A218=0,"-",D218+G216)</f>
        <v>-</v>
      </c>
    </row>
    <row r="219" customFormat="false" ht="13.8" hidden="false" customHeight="false" outlineLevel="0" collapsed="false">
      <c r="B219" s="3"/>
      <c r="C219" s="2" t="str">
        <f aca="false">IF(B219=0,"-",B219-A218)</f>
        <v>-</v>
      </c>
      <c r="E219" s="2" t="str">
        <f aca="false">IF(B219=0,"-",E218+D219+C219)</f>
        <v>-</v>
      </c>
      <c r="F219" s="5" t="str">
        <f aca="false">IF(B219=0,"-",E219*0.5)</f>
        <v>-</v>
      </c>
      <c r="H219" s="4" t="str">
        <f aca="false">IF(B219=0,"-",IF(G218&gt;F219,"YES","NO"))</f>
        <v>-</v>
      </c>
      <c r="I219" s="3" t="str">
        <f aca="false">IF(B219=0,"*",B219+(2*(F219-G218)))</f>
        <v>*</v>
      </c>
      <c r="K219" s="5" t="str">
        <f aca="false">IF(B219=0,"*",F219-G218)</f>
        <v>*</v>
      </c>
    </row>
    <row r="220" customFormat="false" ht="13.8" hidden="false" customHeight="false" outlineLevel="0" collapsed="false">
      <c r="A220" s="3"/>
      <c r="D220" s="2" t="str">
        <f aca="false">IF(A220=0,"-",A220-B219)</f>
        <v>-</v>
      </c>
      <c r="E220" s="2" t="str">
        <f aca="false">IF(A220=0,"-",E219+D220+C220)</f>
        <v>-</v>
      </c>
      <c r="G220" s="2" t="str">
        <f aca="false">IF(A220=0,"-",D220+G218)</f>
        <v>-</v>
      </c>
    </row>
    <row r="221" customFormat="false" ht="13.8" hidden="false" customHeight="false" outlineLevel="0" collapsed="false">
      <c r="B221" s="3"/>
      <c r="C221" s="2" t="str">
        <f aca="false">IF(B221=0,"-",B221-A220)</f>
        <v>-</v>
      </c>
      <c r="E221" s="2" t="str">
        <f aca="false">IF(B221=0,"-",E220+D221+C221)</f>
        <v>-</v>
      </c>
      <c r="F221" s="5" t="str">
        <f aca="false">IF(B221=0,"-",E221*0.5)</f>
        <v>-</v>
      </c>
      <c r="H221" s="4" t="str">
        <f aca="false">IF(B221=0,"-",IF(G220&gt;F221,"YES","NO"))</f>
        <v>-</v>
      </c>
      <c r="I221" s="3" t="str">
        <f aca="false">IF(B221=0,"*",B221+(2*(F221-G220)))</f>
        <v>*</v>
      </c>
      <c r="K221" s="5" t="str">
        <f aca="false">IF(B221=0,"*",F221-G220)</f>
        <v>*</v>
      </c>
    </row>
    <row r="222" customFormat="false" ht="13.8" hidden="false" customHeight="false" outlineLevel="0" collapsed="false">
      <c r="A222" s="3"/>
      <c r="D222" s="2" t="str">
        <f aca="false">IF(A222=0,"-",A222-B221)</f>
        <v>-</v>
      </c>
      <c r="E222" s="2" t="str">
        <f aca="false">IF(A222=0,"-",E221+D222+C222)</f>
        <v>-</v>
      </c>
      <c r="G222" s="2" t="str">
        <f aca="false">IF(A222=0,"-",D222+G220)</f>
        <v>-</v>
      </c>
    </row>
    <row r="223" customFormat="false" ht="13.8" hidden="false" customHeight="false" outlineLevel="0" collapsed="false">
      <c r="B223" s="3"/>
      <c r="C223" s="2" t="str">
        <f aca="false">IF(B223=0,"-",B223-A222)</f>
        <v>-</v>
      </c>
      <c r="E223" s="2" t="str">
        <f aca="false">IF(B223=0,"-",E222+D223+C223)</f>
        <v>-</v>
      </c>
      <c r="F223" s="5" t="str">
        <f aca="false">IF(B223=0,"-",E223*0.5)</f>
        <v>-</v>
      </c>
      <c r="H223" s="4" t="str">
        <f aca="false">IF(B223=0,"-",IF(G222&gt;F223,"YES","NO"))</f>
        <v>-</v>
      </c>
      <c r="I223" s="3" t="str">
        <f aca="false">IF(B223=0,"*",B223+(2*(F223-G222)))</f>
        <v>*</v>
      </c>
      <c r="K223" s="5" t="str">
        <f aca="false">IF(B223=0,"*",F223-G222)</f>
        <v>*</v>
      </c>
    </row>
    <row r="224" customFormat="false" ht="13.8" hidden="false" customHeight="false" outlineLevel="0" collapsed="false">
      <c r="A224" s="3"/>
      <c r="D224" s="2" t="str">
        <f aca="false">IF(A224=0,"-",A224-B223)</f>
        <v>-</v>
      </c>
      <c r="E224" s="2" t="str">
        <f aca="false">IF(A224=0,"-",E223+D224+C224)</f>
        <v>-</v>
      </c>
      <c r="G224" s="2" t="str">
        <f aca="false">IF(A224=0,"-",D224+G222)</f>
        <v>-</v>
      </c>
    </row>
    <row r="225" customFormat="false" ht="13.8" hidden="false" customHeight="false" outlineLevel="0" collapsed="false">
      <c r="B225" s="3"/>
      <c r="C225" s="2" t="str">
        <f aca="false">IF(B225=0,"-",B225-A224)</f>
        <v>-</v>
      </c>
      <c r="E225" s="2" t="str">
        <f aca="false">IF(B225=0,"-",E224+D225+C225)</f>
        <v>-</v>
      </c>
      <c r="F225" s="5" t="str">
        <f aca="false">IF(B225=0,"-",E225*0.5)</f>
        <v>-</v>
      </c>
      <c r="H225" s="4" t="str">
        <f aca="false">IF(B225=0,"-",IF(G224&gt;F225,"YES","NO"))</f>
        <v>-</v>
      </c>
      <c r="I225" s="3" t="str">
        <f aca="false">IF(B225=0,"*",B225+(2*(F225-G224)))</f>
        <v>*</v>
      </c>
      <c r="K225" s="5" t="str">
        <f aca="false">IF(B225=0,"*",F225-G224)</f>
        <v>*</v>
      </c>
    </row>
    <row r="226" customFormat="false" ht="13.8" hidden="false" customHeight="false" outlineLevel="0" collapsed="false">
      <c r="A226" s="3"/>
      <c r="D226" s="2" t="str">
        <f aca="false">IF(A226=0,"-",A226-B225)</f>
        <v>-</v>
      </c>
      <c r="E226" s="2" t="str">
        <f aca="false">IF(A226=0,"-",E225+D226+C226)</f>
        <v>-</v>
      </c>
      <c r="G226" s="2" t="str">
        <f aca="false">IF(A226=0,"-",D226+G224)</f>
        <v>-</v>
      </c>
    </row>
    <row r="227" customFormat="false" ht="13.8" hidden="false" customHeight="false" outlineLevel="0" collapsed="false">
      <c r="B227" s="3"/>
      <c r="C227" s="2" t="str">
        <f aca="false">IF(B227=0,"-",B227-A226)</f>
        <v>-</v>
      </c>
      <c r="E227" s="2" t="str">
        <f aca="false">IF(B227=0,"-",E226+D227+C227)</f>
        <v>-</v>
      </c>
      <c r="F227" s="5" t="str">
        <f aca="false">IF(B227=0,"-",E227*0.5)</f>
        <v>-</v>
      </c>
      <c r="H227" s="4" t="str">
        <f aca="false">IF(B227=0,"-",IF(G226&gt;F227,"YES","NO"))</f>
        <v>-</v>
      </c>
      <c r="I227" s="3" t="str">
        <f aca="false">IF(B227=0,"*",B227+(2*(F227-G226)))</f>
        <v>*</v>
      </c>
      <c r="K227" s="5" t="str">
        <f aca="false">IF(B227=0,"*",F227-G226)</f>
        <v>*</v>
      </c>
    </row>
    <row r="228" customFormat="false" ht="13.8" hidden="false" customHeight="false" outlineLevel="0" collapsed="false">
      <c r="A228" s="3"/>
      <c r="D228" s="2" t="str">
        <f aca="false">IF(A228=0,"-",A228-B227)</f>
        <v>-</v>
      </c>
      <c r="E228" s="2" t="str">
        <f aca="false">IF(A228=0,"-",E227+D228+C228)</f>
        <v>-</v>
      </c>
      <c r="G228" s="2" t="str">
        <f aca="false">IF(A228=0,"-",D228+G226)</f>
        <v>-</v>
      </c>
    </row>
    <row r="229" customFormat="false" ht="13.8" hidden="false" customHeight="false" outlineLevel="0" collapsed="false">
      <c r="B229" s="3"/>
      <c r="C229" s="2" t="str">
        <f aca="false">IF(B229=0,"-",B229-A228)</f>
        <v>-</v>
      </c>
      <c r="E229" s="2" t="str">
        <f aca="false">IF(B229=0,"-",E228+D229+C229)</f>
        <v>-</v>
      </c>
      <c r="F229" s="5" t="str">
        <f aca="false">IF(B229=0,"-",E229*0.5)</f>
        <v>-</v>
      </c>
      <c r="H229" s="4" t="str">
        <f aca="false">IF(B229=0,"-",IF(G228&gt;F229,"YES","NO"))</f>
        <v>-</v>
      </c>
      <c r="I229" s="3" t="str">
        <f aca="false">IF(B229=0,"*",B229+(2*(F229-G228)))</f>
        <v>*</v>
      </c>
      <c r="K229" s="5" t="str">
        <f aca="false">IF(B229=0,"*",F229-G228)</f>
        <v>*</v>
      </c>
    </row>
    <row r="230" customFormat="false" ht="13.8" hidden="false" customHeight="false" outlineLevel="0" collapsed="false">
      <c r="A230" s="3"/>
      <c r="D230" s="2" t="str">
        <f aca="false">IF(A230=0,"-",A230-B229)</f>
        <v>-</v>
      </c>
      <c r="E230" s="2" t="str">
        <f aca="false">IF(A230=0,"-",E229+D230+C230)</f>
        <v>-</v>
      </c>
      <c r="G230" s="2" t="str">
        <f aca="false">IF(A230=0,"-",D230+G228)</f>
        <v>-</v>
      </c>
    </row>
    <row r="231" customFormat="false" ht="13.8" hidden="false" customHeight="false" outlineLevel="0" collapsed="false">
      <c r="B231" s="3"/>
      <c r="C231" s="2" t="str">
        <f aca="false">IF(B231=0,"-",B231-A230)</f>
        <v>-</v>
      </c>
      <c r="E231" s="2" t="str">
        <f aca="false">IF(B231=0,"-",E230+D231+C231)</f>
        <v>-</v>
      </c>
      <c r="F231" s="5" t="str">
        <f aca="false">IF(B231=0,"-",E231*0.5)</f>
        <v>-</v>
      </c>
      <c r="H231" s="4" t="str">
        <f aca="false">IF(B231=0,"-",IF(G230&gt;F231,"YES","NO"))</f>
        <v>-</v>
      </c>
      <c r="I231" s="3" t="str">
        <f aca="false">IF(B231=0,"*",B231+(2*(F231-G230)))</f>
        <v>*</v>
      </c>
      <c r="K231" s="5" t="str">
        <f aca="false">IF(B231=0,"*",F231-G230)</f>
        <v>*</v>
      </c>
    </row>
    <row r="232" customFormat="false" ht="13.8" hidden="false" customHeight="false" outlineLevel="0" collapsed="false">
      <c r="A232" s="3"/>
      <c r="D232" s="2" t="str">
        <f aca="false">IF(A232=0,"-",A232-B231)</f>
        <v>-</v>
      </c>
      <c r="E232" s="2" t="str">
        <f aca="false">IF(A232=0,"-",E231+D232+C232)</f>
        <v>-</v>
      </c>
      <c r="G232" s="2" t="str">
        <f aca="false">IF(A232=0,"-",D232+G230)</f>
        <v>-</v>
      </c>
    </row>
    <row r="233" customFormat="false" ht="13.8" hidden="false" customHeight="false" outlineLevel="0" collapsed="false">
      <c r="B233" s="3"/>
      <c r="C233" s="2" t="str">
        <f aca="false">IF(B233=0,"-",B233-A232)</f>
        <v>-</v>
      </c>
      <c r="E233" s="2" t="str">
        <f aca="false">IF(B233=0,"-",E232+D233+C233)</f>
        <v>-</v>
      </c>
      <c r="F233" s="5" t="str">
        <f aca="false">IF(B233=0,"-",E233*0.5)</f>
        <v>-</v>
      </c>
      <c r="H233" s="4" t="str">
        <f aca="false">IF(B233=0,"-",IF(G232&gt;F233,"YES","NO"))</f>
        <v>-</v>
      </c>
      <c r="I233" s="3" t="str">
        <f aca="false">IF(B233=0,"*",B233+(2*(F233-G232)))</f>
        <v>*</v>
      </c>
      <c r="K233" s="5" t="str">
        <f aca="false">IF(B233=0,"*",F233-G232)</f>
        <v>*</v>
      </c>
    </row>
    <row r="234" customFormat="false" ht="13.8" hidden="false" customHeight="false" outlineLevel="0" collapsed="false">
      <c r="A234" s="3"/>
      <c r="D234" s="2" t="str">
        <f aca="false">IF(A234=0,"-",A234-B233)</f>
        <v>-</v>
      </c>
      <c r="E234" s="2" t="str">
        <f aca="false">IF(A234=0,"-",E233+D234+C234)</f>
        <v>-</v>
      </c>
      <c r="G234" s="2" t="str">
        <f aca="false">IF(A234=0,"-",D234+G232)</f>
        <v>-</v>
      </c>
    </row>
    <row r="235" customFormat="false" ht="13.8" hidden="false" customHeight="false" outlineLevel="0" collapsed="false">
      <c r="B235" s="3"/>
      <c r="C235" s="2" t="str">
        <f aca="false">IF(B235=0,"-",B235-A234)</f>
        <v>-</v>
      </c>
      <c r="E235" s="2" t="str">
        <f aca="false">IF(B235=0,"-",E234+D235+C235)</f>
        <v>-</v>
      </c>
      <c r="F235" s="5" t="str">
        <f aca="false">IF(B235=0,"-",E235*0.5)</f>
        <v>-</v>
      </c>
      <c r="H235" s="4" t="str">
        <f aca="false">IF(B235=0,"-",IF(G234&gt;F235,"YES","NO"))</f>
        <v>-</v>
      </c>
      <c r="I235" s="3" t="str">
        <f aca="false">IF(B235=0,"*",B235+(2*(F235-G234)))</f>
        <v>*</v>
      </c>
      <c r="K235" s="5" t="str">
        <f aca="false">IF(B235=0,"*",F235-G234)</f>
        <v>*</v>
      </c>
    </row>
    <row r="236" customFormat="false" ht="13.8" hidden="false" customHeight="false" outlineLevel="0" collapsed="false">
      <c r="A236" s="3"/>
      <c r="D236" s="2" t="str">
        <f aca="false">IF(A236=0,"-",A236-B235)</f>
        <v>-</v>
      </c>
      <c r="E236" s="2" t="str">
        <f aca="false">IF(A236=0,"-",E235+D236+C236)</f>
        <v>-</v>
      </c>
      <c r="G236" s="2" t="str">
        <f aca="false">IF(A236=0,"-",D236+G234)</f>
        <v>-</v>
      </c>
    </row>
    <row r="237" customFormat="false" ht="13.8" hidden="false" customHeight="false" outlineLevel="0" collapsed="false">
      <c r="B237" s="3"/>
      <c r="C237" s="2" t="str">
        <f aca="false">IF(B237=0,"-",B237-A236)</f>
        <v>-</v>
      </c>
      <c r="E237" s="2" t="str">
        <f aca="false">IF(B237=0,"-",E236+D237+C237)</f>
        <v>-</v>
      </c>
      <c r="F237" s="5" t="str">
        <f aca="false">IF(B237=0,"-",E237*0.5)</f>
        <v>-</v>
      </c>
      <c r="H237" s="4" t="str">
        <f aca="false">IF(B237=0,"-",IF(G236&gt;F237,"YES","NO"))</f>
        <v>-</v>
      </c>
      <c r="I237" s="3" t="str">
        <f aca="false">IF(B237=0,"*",B237+(2*(F237-G236)))</f>
        <v>*</v>
      </c>
      <c r="K237" s="5" t="str">
        <f aca="false">IF(B237=0,"*",F237-G236)</f>
        <v>*</v>
      </c>
    </row>
    <row r="238" customFormat="false" ht="13.8" hidden="false" customHeight="false" outlineLevel="0" collapsed="false">
      <c r="A238" s="3"/>
      <c r="D238" s="2" t="str">
        <f aca="false">IF(A238=0,"-",A238-B237)</f>
        <v>-</v>
      </c>
      <c r="E238" s="2" t="str">
        <f aca="false">IF(A238=0,"-",E237+D238+C238)</f>
        <v>-</v>
      </c>
      <c r="G238" s="2" t="str">
        <f aca="false">IF(A238=0,"-",D238+G236)</f>
        <v>-</v>
      </c>
    </row>
    <row r="239" customFormat="false" ht="13.8" hidden="false" customHeight="false" outlineLevel="0" collapsed="false">
      <c r="B239" s="3"/>
      <c r="C239" s="2" t="str">
        <f aca="false">IF(B239=0,"-",B239-A238)</f>
        <v>-</v>
      </c>
      <c r="E239" s="2" t="str">
        <f aca="false">IF(B239=0,"-",E238+D239+C239)</f>
        <v>-</v>
      </c>
      <c r="F239" s="5" t="str">
        <f aca="false">IF(B239=0,"-",E239*0.5)</f>
        <v>-</v>
      </c>
      <c r="H239" s="4" t="str">
        <f aca="false">IF(B239=0,"-",IF(G238&gt;F239,"YES","NO"))</f>
        <v>-</v>
      </c>
      <c r="I239" s="3" t="str">
        <f aca="false">IF(B239=0,"*",B239+(2*(F239-G238)))</f>
        <v>*</v>
      </c>
      <c r="K239" s="5" t="str">
        <f aca="false">IF(B239=0,"*",F239-G238)</f>
        <v>*</v>
      </c>
    </row>
    <row r="240" customFormat="false" ht="13.8" hidden="false" customHeight="false" outlineLevel="0" collapsed="false">
      <c r="A240" s="3"/>
      <c r="D240" s="2" t="str">
        <f aca="false">IF(A240=0,"-",A240-B239)</f>
        <v>-</v>
      </c>
      <c r="E240" s="2" t="str">
        <f aca="false">IF(A240=0,"-",E239+D240+C240)</f>
        <v>-</v>
      </c>
      <c r="G240" s="2" t="str">
        <f aca="false">IF(A240=0,"-",D240+G238)</f>
        <v>-</v>
      </c>
    </row>
    <row r="241" customFormat="false" ht="13.8" hidden="false" customHeight="false" outlineLevel="0" collapsed="false">
      <c r="B241" s="3"/>
      <c r="C241" s="2" t="str">
        <f aca="false">IF(B241=0,"-",B241-A240)</f>
        <v>-</v>
      </c>
      <c r="E241" s="2" t="str">
        <f aca="false">IF(B241=0,"-",E240+D241+C241)</f>
        <v>-</v>
      </c>
      <c r="F241" s="5" t="str">
        <f aca="false">IF(B241=0,"-",E241*0.5)</f>
        <v>-</v>
      </c>
      <c r="H241" s="4" t="str">
        <f aca="false">IF(B241=0,"-",IF(G240&gt;F241,"YES","NO"))</f>
        <v>-</v>
      </c>
      <c r="I241" s="3" t="str">
        <f aca="false">IF(B241=0,"*",B241+(2*(F241-G240)))</f>
        <v>*</v>
      </c>
      <c r="K241" s="5" t="str">
        <f aca="false">IF(B241=0,"*",F241-G240)</f>
        <v>*</v>
      </c>
    </row>
    <row r="242" customFormat="false" ht="13.8" hidden="false" customHeight="false" outlineLevel="0" collapsed="false">
      <c r="A242" s="3"/>
      <c r="D242" s="2" t="str">
        <f aca="false">IF(A242=0,"-",A242-B241)</f>
        <v>-</v>
      </c>
      <c r="E242" s="2" t="str">
        <f aca="false">IF(A242=0,"-",E241+D242+C242)</f>
        <v>-</v>
      </c>
      <c r="G242" s="2" t="str">
        <f aca="false">IF(A242=0,"-",D242+G240)</f>
        <v>-</v>
      </c>
    </row>
    <row r="243" customFormat="false" ht="13.8" hidden="false" customHeight="false" outlineLevel="0" collapsed="false">
      <c r="B243" s="3"/>
      <c r="C243" s="2" t="str">
        <f aca="false">IF(B243=0,"-",B243-A242)</f>
        <v>-</v>
      </c>
      <c r="E243" s="2" t="str">
        <f aca="false">IF(B243=0,"-",E242+D243+C243)</f>
        <v>-</v>
      </c>
      <c r="F243" s="5" t="str">
        <f aca="false">IF(B243=0,"-",E243*0.5)</f>
        <v>-</v>
      </c>
      <c r="H243" s="4" t="str">
        <f aca="false">IF(B243=0,"-",IF(G242&gt;F243,"YES","NO"))</f>
        <v>-</v>
      </c>
      <c r="I243" s="3" t="str">
        <f aca="false">IF(B243=0,"*",B243+(2*(F243-G242)))</f>
        <v>*</v>
      </c>
      <c r="K243" s="5" t="str">
        <f aca="false">IF(B243=0,"*",F243-G242)</f>
        <v>*</v>
      </c>
    </row>
    <row r="244" customFormat="false" ht="13.8" hidden="false" customHeight="false" outlineLevel="0" collapsed="false">
      <c r="A244" s="3"/>
      <c r="D244" s="2" t="str">
        <f aca="false">IF(A244=0,"-",A244-B243)</f>
        <v>-</v>
      </c>
      <c r="E244" s="2" t="str">
        <f aca="false">IF(A244=0,"-",E243+D244+C244)</f>
        <v>-</v>
      </c>
      <c r="G244" s="2" t="str">
        <f aca="false">IF(A244=0,"-",D244+G242)</f>
        <v>-</v>
      </c>
    </row>
    <row r="245" customFormat="false" ht="13.8" hidden="false" customHeight="false" outlineLevel="0" collapsed="false">
      <c r="B245" s="3"/>
      <c r="C245" s="2" t="str">
        <f aca="false">IF(B245=0,"-",B245-A244)</f>
        <v>-</v>
      </c>
      <c r="E245" s="2" t="str">
        <f aca="false">IF(B245=0,"-",E244+D245+C245)</f>
        <v>-</v>
      </c>
      <c r="F245" s="5" t="str">
        <f aca="false">IF(B245=0,"-",E245*0.5)</f>
        <v>-</v>
      </c>
      <c r="H245" s="4" t="str">
        <f aca="false">IF(B245=0,"-",IF(G244&gt;F245,"YES","NO"))</f>
        <v>-</v>
      </c>
      <c r="I245" s="3" t="str">
        <f aca="false">IF(B245=0,"*",B245+(2*(F245-G244)))</f>
        <v>*</v>
      </c>
      <c r="K245" s="5" t="str">
        <f aca="false">IF(B245=0,"*",F245-G244)</f>
        <v>*</v>
      </c>
    </row>
    <row r="246" customFormat="false" ht="13.8" hidden="false" customHeight="false" outlineLevel="0" collapsed="false">
      <c r="A246" s="3"/>
      <c r="D246" s="2" t="str">
        <f aca="false">IF(A246=0,"-",A246-B245)</f>
        <v>-</v>
      </c>
      <c r="E246" s="2" t="str">
        <f aca="false">IF(A246=0,"-",E245+D246+C246)</f>
        <v>-</v>
      </c>
      <c r="G246" s="2" t="str">
        <f aca="false">IF(A246=0,"-",D246+G244)</f>
        <v>-</v>
      </c>
    </row>
    <row r="247" customFormat="false" ht="13.8" hidden="false" customHeight="false" outlineLevel="0" collapsed="false">
      <c r="B247" s="3"/>
      <c r="C247" s="2" t="str">
        <f aca="false">IF(B247=0,"-",B247-A246)</f>
        <v>-</v>
      </c>
      <c r="E247" s="2" t="str">
        <f aca="false">IF(B247=0,"-",E246+D247+C247)</f>
        <v>-</v>
      </c>
      <c r="F247" s="5" t="str">
        <f aca="false">IF(B247=0,"-",E247*0.5)</f>
        <v>-</v>
      </c>
      <c r="H247" s="4" t="str">
        <f aca="false">IF(B247=0,"-",IF(G246&gt;F247,"YES","NO"))</f>
        <v>-</v>
      </c>
      <c r="I247" s="3" t="str">
        <f aca="false">IF(B247=0,"*",B247+(2*(F247-G246)))</f>
        <v>*</v>
      </c>
      <c r="K247" s="5" t="str">
        <f aca="false">IF(B247=0,"*",F247-G246)</f>
        <v>*</v>
      </c>
    </row>
    <row r="248" customFormat="false" ht="13.8" hidden="false" customHeight="false" outlineLevel="0" collapsed="false">
      <c r="A248" s="3"/>
      <c r="D248" s="2" t="str">
        <f aca="false">IF(A248=0,"-",A248-B247)</f>
        <v>-</v>
      </c>
      <c r="E248" s="2" t="str">
        <f aca="false">IF(A248=0,"-",E247+D248+C248)</f>
        <v>-</v>
      </c>
      <c r="G248" s="2" t="str">
        <f aca="false">IF(A248=0,"-",D248+G246)</f>
        <v>-</v>
      </c>
    </row>
    <row r="249" customFormat="false" ht="13.8" hidden="false" customHeight="false" outlineLevel="0" collapsed="false">
      <c r="B249" s="3"/>
      <c r="C249" s="2" t="str">
        <f aca="false">IF(B249=0,"-",B249-A248)</f>
        <v>-</v>
      </c>
      <c r="E249" s="2" t="str">
        <f aca="false">IF(B249=0,"-",E248+D249+C249)</f>
        <v>-</v>
      </c>
      <c r="F249" s="5" t="str">
        <f aca="false">IF(B249=0,"-",E249*0.5)</f>
        <v>-</v>
      </c>
      <c r="H249" s="4" t="str">
        <f aca="false">IF(B249=0,"-",IF(G248&gt;F249,"YES","NO"))</f>
        <v>-</v>
      </c>
      <c r="I249" s="3" t="str">
        <f aca="false">IF(B249=0,"*",B249+(2*(F249-G248)))</f>
        <v>*</v>
      </c>
      <c r="K249" s="5" t="str">
        <f aca="false">IF(B249=0,"*",F249-G248)</f>
        <v>*</v>
      </c>
    </row>
    <row r="250" customFormat="false" ht="13.8" hidden="false" customHeight="false" outlineLevel="0" collapsed="false">
      <c r="A250" s="3"/>
      <c r="D250" s="2" t="str">
        <f aca="false">IF(A250=0,"-",A250-B249)</f>
        <v>-</v>
      </c>
      <c r="E250" s="2" t="str">
        <f aca="false">IF(A250=0,"-",E249+D250+C250)</f>
        <v>-</v>
      </c>
      <c r="G250" s="2" t="str">
        <f aca="false">IF(A250=0,"-",D250+G248)</f>
        <v>-</v>
      </c>
    </row>
    <row r="251" customFormat="false" ht="13.8" hidden="false" customHeight="false" outlineLevel="0" collapsed="false">
      <c r="B251" s="3"/>
      <c r="C251" s="2" t="str">
        <f aca="false">IF(B251=0,"-",B251-A250)</f>
        <v>-</v>
      </c>
      <c r="E251" s="2" t="str">
        <f aca="false">IF(B251=0,"-",E250+D251+C251)</f>
        <v>-</v>
      </c>
      <c r="F251" s="5" t="str">
        <f aca="false">IF(B251=0,"-",E251*0.5)</f>
        <v>-</v>
      </c>
      <c r="H251" s="4" t="str">
        <f aca="false">IF(B251=0,"-",IF(G250&gt;F251,"YES","NO"))</f>
        <v>-</v>
      </c>
      <c r="I251" s="3" t="str">
        <f aca="false">IF(B251=0,"*",B251+(2*(F251-G250)))</f>
        <v>*</v>
      </c>
      <c r="K251" s="5" t="str">
        <f aca="false">IF(B251=0,"*",F251-G250)</f>
        <v>*</v>
      </c>
    </row>
    <row r="252" customFormat="false" ht="13.8" hidden="false" customHeight="false" outlineLevel="0" collapsed="false">
      <c r="A252" s="3"/>
      <c r="D252" s="2" t="str">
        <f aca="false">IF(A252=0,"-",A252-B251)</f>
        <v>-</v>
      </c>
      <c r="E252" s="2" t="str">
        <f aca="false">IF(A252=0,"-",E251+D252+C252)</f>
        <v>-</v>
      </c>
      <c r="G252" s="2" t="str">
        <f aca="false">IF(A252=0,"-",D252+G250)</f>
        <v>-</v>
      </c>
    </row>
    <row r="253" customFormat="false" ht="13.8" hidden="false" customHeight="false" outlineLevel="0" collapsed="false">
      <c r="B253" s="3"/>
      <c r="C253" s="2" t="str">
        <f aca="false">IF(B253=0,"-",B253-A252)</f>
        <v>-</v>
      </c>
      <c r="E253" s="2" t="str">
        <f aca="false">IF(B253=0,"-",E252+D253+C253)</f>
        <v>-</v>
      </c>
      <c r="F253" s="5" t="str">
        <f aca="false">IF(B253=0,"-",E253*0.5)</f>
        <v>-</v>
      </c>
      <c r="H253" s="4" t="str">
        <f aca="false">IF(B253=0,"-",IF(G252&gt;F253,"YES","NO"))</f>
        <v>-</v>
      </c>
      <c r="I253" s="3" t="str">
        <f aca="false">IF(B253=0,"*",B253+(2*(F253-G252)))</f>
        <v>*</v>
      </c>
      <c r="K253" s="5" t="str">
        <f aca="false">IF(B253=0,"*",F253-G252)</f>
        <v>*</v>
      </c>
    </row>
    <row r="254" customFormat="false" ht="13.8" hidden="false" customHeight="false" outlineLevel="0" collapsed="false">
      <c r="A254" s="3"/>
      <c r="D254" s="2" t="str">
        <f aca="false">IF(A254=0,"-",A254-B253)</f>
        <v>-</v>
      </c>
      <c r="E254" s="2" t="str">
        <f aca="false">IF(A254=0,"-",E253+D254+C254)</f>
        <v>-</v>
      </c>
      <c r="G254" s="2" t="str">
        <f aca="false">IF(A254=0,"-",D254+G252)</f>
        <v>-</v>
      </c>
    </row>
    <row r="255" customFormat="false" ht="13.8" hidden="false" customHeight="false" outlineLevel="0" collapsed="false">
      <c r="B255" s="3"/>
      <c r="C255" s="2" t="str">
        <f aca="false">IF(B255=0,"-",B255-A254)</f>
        <v>-</v>
      </c>
      <c r="E255" s="2" t="str">
        <f aca="false">IF(B255=0,"-",E254+D255+C255)</f>
        <v>-</v>
      </c>
      <c r="F255" s="5" t="str">
        <f aca="false">IF(B255=0,"-",E255*0.5)</f>
        <v>-</v>
      </c>
      <c r="H255" s="4" t="str">
        <f aca="false">IF(B255=0,"-",IF(G254&gt;F255,"YES","NO"))</f>
        <v>-</v>
      </c>
      <c r="I255" s="3" t="str">
        <f aca="false">IF(B255=0,"*",B255+(2*(F255-G254)))</f>
        <v>*</v>
      </c>
      <c r="K255" s="5" t="str">
        <f aca="false">IF(B255=0,"*",F255-G254)</f>
        <v>*</v>
      </c>
    </row>
    <row r="256" customFormat="false" ht="13.8" hidden="false" customHeight="false" outlineLevel="0" collapsed="false">
      <c r="A256" s="3"/>
      <c r="D256" s="2" t="str">
        <f aca="false">IF(A256=0,"-",A256-B255)</f>
        <v>-</v>
      </c>
      <c r="E256" s="2" t="str">
        <f aca="false">IF(A256=0,"-",E255+D256+C256)</f>
        <v>-</v>
      </c>
      <c r="G256" s="2" t="str">
        <f aca="false">IF(A256=0,"-",D256+G254)</f>
        <v>-</v>
      </c>
    </row>
    <row r="257" customFormat="false" ht="13.8" hidden="false" customHeight="false" outlineLevel="0" collapsed="false">
      <c r="B257" s="3"/>
      <c r="C257" s="2" t="str">
        <f aca="false">IF(B257=0,"-",B257-A256)</f>
        <v>-</v>
      </c>
      <c r="E257" s="2" t="str">
        <f aca="false">IF(B257=0,"-",E256+D257+C257)</f>
        <v>-</v>
      </c>
      <c r="F257" s="5" t="str">
        <f aca="false">IF(B257=0,"-",E257*0.5)</f>
        <v>-</v>
      </c>
      <c r="H257" s="4" t="str">
        <f aca="false">IF(B257=0,"-",IF(G256&gt;F257,"YES","NO"))</f>
        <v>-</v>
      </c>
      <c r="I257" s="3" t="str">
        <f aca="false">IF(B257=0,"*",B257+(2*(F257-G256)))</f>
        <v>*</v>
      </c>
      <c r="K257" s="5" t="str">
        <f aca="false">IF(B257=0,"*",F257-G256)</f>
        <v>*</v>
      </c>
    </row>
    <row r="258" customFormat="false" ht="13.8" hidden="false" customHeight="false" outlineLevel="0" collapsed="false">
      <c r="A258" s="3"/>
      <c r="D258" s="2" t="str">
        <f aca="false">IF(A258=0,"-",A258-B257)</f>
        <v>-</v>
      </c>
      <c r="E258" s="2" t="str">
        <f aca="false">IF(A258=0,"-",E257+D258+C258)</f>
        <v>-</v>
      </c>
      <c r="G258" s="2" t="str">
        <f aca="false">IF(A258=0,"-",D258+G256)</f>
        <v>-</v>
      </c>
    </row>
    <row r="259" customFormat="false" ht="13.8" hidden="false" customHeight="false" outlineLevel="0" collapsed="false">
      <c r="B259" s="3"/>
      <c r="C259" s="2" t="str">
        <f aca="false">IF(B259=0,"-",B259-A258)</f>
        <v>-</v>
      </c>
      <c r="E259" s="2" t="str">
        <f aca="false">IF(B259=0,"-",E258+D259+C259)</f>
        <v>-</v>
      </c>
      <c r="F259" s="5" t="str">
        <f aca="false">IF(B259=0,"-",E259*0.5)</f>
        <v>-</v>
      </c>
      <c r="H259" s="4" t="str">
        <f aca="false">IF(B259=0,"-",IF(G258&gt;F259,"YES","NO"))</f>
        <v>-</v>
      </c>
      <c r="I259" s="3" t="str">
        <f aca="false">IF(B259=0,"*",B259+(2*(F259-G258)))</f>
        <v>*</v>
      </c>
      <c r="K259" s="5" t="str">
        <f aca="false">IF(B259=0,"*",F259-G258)</f>
        <v>*</v>
      </c>
    </row>
    <row r="260" customFormat="false" ht="13.8" hidden="false" customHeight="false" outlineLevel="0" collapsed="false">
      <c r="A260" s="3"/>
      <c r="D260" s="2" t="str">
        <f aca="false">IF(A260=0,"-",A260-B259)</f>
        <v>-</v>
      </c>
      <c r="E260" s="2" t="str">
        <f aca="false">IF(A260=0,"-",E259+D260+C260)</f>
        <v>-</v>
      </c>
      <c r="G260" s="2" t="str">
        <f aca="false">IF(A260=0,"-",D260+G258)</f>
        <v>-</v>
      </c>
    </row>
    <row r="261" customFormat="false" ht="13.8" hidden="false" customHeight="false" outlineLevel="0" collapsed="false">
      <c r="B261" s="3"/>
      <c r="C261" s="2" t="str">
        <f aca="false">IF(B261=0,"-",B261-A260)</f>
        <v>-</v>
      </c>
      <c r="E261" s="2" t="str">
        <f aca="false">IF(B261=0,"-",E260+D261+C261)</f>
        <v>-</v>
      </c>
      <c r="F261" s="5" t="str">
        <f aca="false">IF(B261=0,"-",E261*0.5)</f>
        <v>-</v>
      </c>
      <c r="H261" s="4" t="str">
        <f aca="false">IF(B261=0,"-",IF(G260&gt;F261,"YES","NO"))</f>
        <v>-</v>
      </c>
      <c r="I261" s="3" t="str">
        <f aca="false">IF(B261=0,"*",B261+(2*(F261-G260)))</f>
        <v>*</v>
      </c>
      <c r="K261" s="5" t="str">
        <f aca="false">IF(B261=0,"*",F261-G260)</f>
        <v>*</v>
      </c>
    </row>
    <row r="262" customFormat="false" ht="13.8" hidden="false" customHeight="false" outlineLevel="0" collapsed="false">
      <c r="A262" s="3"/>
      <c r="D262" s="2" t="str">
        <f aca="false">IF(A262=0,"-",A262-B261)</f>
        <v>-</v>
      </c>
      <c r="E262" s="2" t="str">
        <f aca="false">IF(A262=0,"-",E261+D262+C262)</f>
        <v>-</v>
      </c>
      <c r="G262" s="2" t="str">
        <f aca="false">IF(A262=0,"-",D262+G260)</f>
        <v>-</v>
      </c>
    </row>
    <row r="263" customFormat="false" ht="13.8" hidden="false" customHeight="false" outlineLevel="0" collapsed="false">
      <c r="B263" s="3"/>
      <c r="C263" s="2" t="str">
        <f aca="false">IF(B263=0,"-",B263-A262)</f>
        <v>-</v>
      </c>
      <c r="E263" s="2" t="str">
        <f aca="false">IF(B263=0,"-",E262+D263+C263)</f>
        <v>-</v>
      </c>
      <c r="F263" s="5" t="str">
        <f aca="false">IF(B263=0,"-",E263*0.5)</f>
        <v>-</v>
      </c>
      <c r="H263" s="4" t="str">
        <f aca="false">IF(B263=0,"-",IF(G262&gt;F263,"YES","NO"))</f>
        <v>-</v>
      </c>
      <c r="I263" s="3" t="str">
        <f aca="false">IF(B263=0,"*",B263+(2*(F263-G262)))</f>
        <v>*</v>
      </c>
      <c r="K263" s="5" t="str">
        <f aca="false">IF(B263=0,"*",F263-G262)</f>
        <v>*</v>
      </c>
    </row>
    <row r="264" customFormat="false" ht="13.8" hidden="false" customHeight="false" outlineLevel="0" collapsed="false">
      <c r="A264" s="3"/>
      <c r="D264" s="2" t="str">
        <f aca="false">IF(A264=0,"-",A264-B263)</f>
        <v>-</v>
      </c>
      <c r="E264" s="2" t="str">
        <f aca="false">IF(A264=0,"-",E263+D264+C264)</f>
        <v>-</v>
      </c>
      <c r="G264" s="2" t="str">
        <f aca="false">IF(A264=0,"-",D264+G262)</f>
        <v>-</v>
      </c>
    </row>
    <row r="265" customFormat="false" ht="13.8" hidden="false" customHeight="false" outlineLevel="0" collapsed="false">
      <c r="B265" s="3"/>
      <c r="C265" s="2" t="str">
        <f aca="false">IF(B265=0,"-",B265-A264)</f>
        <v>-</v>
      </c>
      <c r="E265" s="2" t="str">
        <f aca="false">IF(B265=0,"-",E264+D265+C265)</f>
        <v>-</v>
      </c>
      <c r="F265" s="5" t="str">
        <f aca="false">IF(B265=0,"-",E265*0.5)</f>
        <v>-</v>
      </c>
      <c r="H265" s="4" t="str">
        <f aca="false">IF(B265=0,"-",IF(G264&gt;F265,"YES","NO"))</f>
        <v>-</v>
      </c>
      <c r="I265" s="3" t="str">
        <f aca="false">IF(B265=0,"*",B265+(2*(F265-G264)))</f>
        <v>*</v>
      </c>
      <c r="K265" s="5" t="str">
        <f aca="false">IF(B265=0,"*",F265-G264)</f>
        <v>*</v>
      </c>
    </row>
    <row r="266" customFormat="false" ht="13.8" hidden="false" customHeight="false" outlineLevel="0" collapsed="false">
      <c r="A266" s="3"/>
      <c r="D266" s="2" t="str">
        <f aca="false">IF(A266=0,"-",A266-B265)</f>
        <v>-</v>
      </c>
      <c r="E266" s="2" t="str">
        <f aca="false">IF(A266=0,"-",E265+D266+C266)</f>
        <v>-</v>
      </c>
      <c r="G266" s="2" t="str">
        <f aca="false">IF(A266=0,"-",D266+G264)</f>
        <v>-</v>
      </c>
    </row>
    <row r="267" customFormat="false" ht="13.8" hidden="false" customHeight="false" outlineLevel="0" collapsed="false">
      <c r="B267" s="3"/>
      <c r="C267" s="2" t="str">
        <f aca="false">IF(B267=0,"-",B267-A266)</f>
        <v>-</v>
      </c>
      <c r="E267" s="2" t="str">
        <f aca="false">IF(B267=0,"-",E266+D267+C267)</f>
        <v>-</v>
      </c>
      <c r="F267" s="5" t="str">
        <f aca="false">IF(B267=0,"-",E267*0.5)</f>
        <v>-</v>
      </c>
      <c r="H267" s="4" t="str">
        <f aca="false">IF(B267=0,"-",IF(G266&gt;F267,"YES","NO"))</f>
        <v>-</v>
      </c>
      <c r="I267" s="3" t="str">
        <f aca="false">IF(B267=0,"*",B267+(2*(F267-G266)))</f>
        <v>*</v>
      </c>
      <c r="K267" s="5" t="str">
        <f aca="false">IF(B267=0,"*",F267-G266)</f>
        <v>*</v>
      </c>
    </row>
    <row r="268" customFormat="false" ht="13.8" hidden="false" customHeight="false" outlineLevel="0" collapsed="false">
      <c r="A268" s="3"/>
      <c r="D268" s="2" t="str">
        <f aca="false">IF(A268=0,"-",A268-B267)</f>
        <v>-</v>
      </c>
      <c r="E268" s="2" t="str">
        <f aca="false">IF(A268=0,"-",E267+D268+C268)</f>
        <v>-</v>
      </c>
      <c r="G268" s="2" t="str">
        <f aca="false">IF(A268=0,"-",D268+G266)</f>
        <v>-</v>
      </c>
    </row>
    <row r="269" customFormat="false" ht="13.8" hidden="false" customHeight="false" outlineLevel="0" collapsed="false">
      <c r="B269" s="3"/>
      <c r="C269" s="2" t="str">
        <f aca="false">IF(B269=0,"-",B269-A268)</f>
        <v>-</v>
      </c>
      <c r="E269" s="2" t="str">
        <f aca="false">IF(B269=0,"-",E268+D269+C269)</f>
        <v>-</v>
      </c>
      <c r="F269" s="5" t="str">
        <f aca="false">IF(B269=0,"-",E269*0.5)</f>
        <v>-</v>
      </c>
      <c r="H269" s="4" t="str">
        <f aca="false">IF(B269=0,"-",IF(G268&gt;F269,"YES","NO"))</f>
        <v>-</v>
      </c>
      <c r="I269" s="3" t="str">
        <f aca="false">IF(B269=0,"*",B269+(2*(F269-G268)))</f>
        <v>*</v>
      </c>
      <c r="K269" s="5" t="str">
        <f aca="false">IF(B269=0,"*",F269-G268)</f>
        <v>*</v>
      </c>
    </row>
    <row r="270" customFormat="false" ht="13.8" hidden="false" customHeight="false" outlineLevel="0" collapsed="false">
      <c r="A270" s="3"/>
      <c r="D270" s="2" t="str">
        <f aca="false">IF(A270=0,"-",A270-B269)</f>
        <v>-</v>
      </c>
      <c r="E270" s="2" t="str">
        <f aca="false">IF(A270=0,"-",E269+D270+C270)</f>
        <v>-</v>
      </c>
      <c r="G270" s="2" t="str">
        <f aca="false">IF(A270=0,"-",D270+G268)</f>
        <v>-</v>
      </c>
    </row>
    <row r="271" customFormat="false" ht="13.8" hidden="false" customHeight="false" outlineLevel="0" collapsed="false">
      <c r="B271" s="3"/>
      <c r="C271" s="2" t="str">
        <f aca="false">IF(B271=0,"-",B271-A270)</f>
        <v>-</v>
      </c>
      <c r="E271" s="2" t="str">
        <f aca="false">IF(B271=0,"-",E270+D271+C271)</f>
        <v>-</v>
      </c>
      <c r="F271" s="5" t="str">
        <f aca="false">IF(B271=0,"-",E271*0.5)</f>
        <v>-</v>
      </c>
      <c r="H271" s="4" t="str">
        <f aca="false">IF(B271=0,"-",IF(G270&gt;F271,"YES","NO"))</f>
        <v>-</v>
      </c>
      <c r="I271" s="3" t="str">
        <f aca="false">IF(B271=0,"*",B271+(2*(F271-G270)))</f>
        <v>*</v>
      </c>
      <c r="K271" s="5" t="str">
        <f aca="false">IF(B271=0,"*",F271-G270)</f>
        <v>*</v>
      </c>
    </row>
    <row r="272" customFormat="false" ht="13.8" hidden="false" customHeight="false" outlineLevel="0" collapsed="false">
      <c r="A272" s="3"/>
      <c r="D272" s="2" t="str">
        <f aca="false">IF(A272=0,"-",A272-B271)</f>
        <v>-</v>
      </c>
      <c r="E272" s="2" t="str">
        <f aca="false">IF(A272=0,"-",E271+D272+C272)</f>
        <v>-</v>
      </c>
      <c r="G272" s="2" t="str">
        <f aca="false">IF(A272=0,"-",D272+G270)</f>
        <v>-</v>
      </c>
    </row>
    <row r="273" customFormat="false" ht="13.8" hidden="false" customHeight="false" outlineLevel="0" collapsed="false">
      <c r="B273" s="3"/>
      <c r="C273" s="2" t="str">
        <f aca="false">IF(B273=0,"-",B273-A272)</f>
        <v>-</v>
      </c>
      <c r="E273" s="2" t="str">
        <f aca="false">IF(B273=0,"-",E272+D273+C273)</f>
        <v>-</v>
      </c>
      <c r="F273" s="5" t="str">
        <f aca="false">IF(B273=0,"-",E273*0.5)</f>
        <v>-</v>
      </c>
      <c r="H273" s="4" t="str">
        <f aca="false">IF(B273=0,"-",IF(G272&gt;F273,"YES","NO"))</f>
        <v>-</v>
      </c>
      <c r="I273" s="3" t="str">
        <f aca="false">IF(B273=0,"*",B273+(2*(F273-G272)))</f>
        <v>*</v>
      </c>
      <c r="K273" s="5" t="str">
        <f aca="false">IF(B273=0,"*",F273-G272)</f>
        <v>*</v>
      </c>
    </row>
    <row r="274" customFormat="false" ht="13.8" hidden="false" customHeight="false" outlineLevel="0" collapsed="false">
      <c r="A274" s="3"/>
      <c r="D274" s="2" t="str">
        <f aca="false">IF(A274=0,"-",A274-B273)</f>
        <v>-</v>
      </c>
      <c r="E274" s="2" t="str">
        <f aca="false">IF(A274=0,"-",E273+D274+C274)</f>
        <v>-</v>
      </c>
      <c r="G274" s="2" t="str">
        <f aca="false">IF(A274=0,"-",D274+G272)</f>
        <v>-</v>
      </c>
    </row>
    <row r="275" customFormat="false" ht="13.8" hidden="false" customHeight="false" outlineLevel="0" collapsed="false">
      <c r="B275" s="3"/>
      <c r="C275" s="2" t="str">
        <f aca="false">IF(B275=0,"-",B275-A274)</f>
        <v>-</v>
      </c>
      <c r="E275" s="2" t="str">
        <f aca="false">IF(B275=0,"-",E274+D275+C275)</f>
        <v>-</v>
      </c>
      <c r="F275" s="5" t="str">
        <f aca="false">IF(B275=0,"-",E275*0.5)</f>
        <v>-</v>
      </c>
      <c r="H275" s="4" t="str">
        <f aca="false">IF(B275=0,"-",IF(G274&gt;F275,"YES","NO"))</f>
        <v>-</v>
      </c>
      <c r="I275" s="3" t="str">
        <f aca="false">IF(B275=0,"*",B275+(2*(F275-G274)))</f>
        <v>*</v>
      </c>
      <c r="K275" s="5" t="str">
        <f aca="false">IF(B275=0,"*",F275-G274)</f>
        <v>*</v>
      </c>
    </row>
    <row r="276" customFormat="false" ht="13.8" hidden="false" customHeight="false" outlineLevel="0" collapsed="false">
      <c r="A276" s="3"/>
      <c r="D276" s="2" t="str">
        <f aca="false">IF(A276=0,"-",A276-B275)</f>
        <v>-</v>
      </c>
      <c r="E276" s="2" t="str">
        <f aca="false">IF(A276=0,"-",E275+D276+C276)</f>
        <v>-</v>
      </c>
      <c r="G276" s="2" t="str">
        <f aca="false">IF(A276=0,"-",D276+G274)</f>
        <v>-</v>
      </c>
    </row>
    <row r="277" customFormat="false" ht="13.8" hidden="false" customHeight="false" outlineLevel="0" collapsed="false">
      <c r="B277" s="3"/>
      <c r="C277" s="2" t="str">
        <f aca="false">IF(B277=0,"-",B277-A276)</f>
        <v>-</v>
      </c>
      <c r="E277" s="2" t="str">
        <f aca="false">IF(B277=0,"-",E276+D277+C277)</f>
        <v>-</v>
      </c>
      <c r="F277" s="5" t="str">
        <f aca="false">IF(B277=0,"-",E277*0.5)</f>
        <v>-</v>
      </c>
      <c r="H277" s="4" t="str">
        <f aca="false">IF(B277=0,"-",IF(G276&gt;F277,"YES","NO"))</f>
        <v>-</v>
      </c>
      <c r="I277" s="3" t="str">
        <f aca="false">IF(B277=0,"*",B277+(2*(F277-G276)))</f>
        <v>*</v>
      </c>
      <c r="K277" s="5" t="str">
        <f aca="false">IF(B277=0,"*",F277-G276)</f>
        <v>*</v>
      </c>
    </row>
    <row r="278" customFormat="false" ht="13.8" hidden="false" customHeight="false" outlineLevel="0" collapsed="false">
      <c r="A278" s="3"/>
      <c r="D278" s="2" t="str">
        <f aca="false">IF(A278=0,"-",A278-B277)</f>
        <v>-</v>
      </c>
      <c r="E278" s="2" t="str">
        <f aca="false">IF(A278=0,"-",E277+D278+C278)</f>
        <v>-</v>
      </c>
      <c r="G278" s="2" t="str">
        <f aca="false">IF(A278=0,"-",D278+G276)</f>
        <v>-</v>
      </c>
    </row>
    <row r="279" customFormat="false" ht="13.8" hidden="false" customHeight="false" outlineLevel="0" collapsed="false">
      <c r="B279" s="3"/>
      <c r="C279" s="2" t="str">
        <f aca="false">IF(B279=0,"-",B279-A278)</f>
        <v>-</v>
      </c>
      <c r="E279" s="2" t="str">
        <f aca="false">IF(B279=0,"-",E278+D279+C279)</f>
        <v>-</v>
      </c>
      <c r="F279" s="5" t="str">
        <f aca="false">IF(B279=0,"-",E279*0.5)</f>
        <v>-</v>
      </c>
      <c r="H279" s="4" t="str">
        <f aca="false">IF(B279=0,"-",IF(G278&gt;F279,"YES","NO"))</f>
        <v>-</v>
      </c>
      <c r="I279" s="3" t="str">
        <f aca="false">IF(B279=0,"*",B279+(2*(F279-G278)))</f>
        <v>*</v>
      </c>
      <c r="K279" s="5" t="str">
        <f aca="false">IF(B279=0,"*",F279-G278)</f>
        <v>*</v>
      </c>
    </row>
    <row r="280" customFormat="false" ht="13.8" hidden="false" customHeight="false" outlineLevel="0" collapsed="false">
      <c r="A280" s="3"/>
      <c r="D280" s="2" t="str">
        <f aca="false">IF(A280=0,"-",A280-B279)</f>
        <v>-</v>
      </c>
      <c r="E280" s="2" t="str">
        <f aca="false">IF(A280=0,"-",E279+D280+C280)</f>
        <v>-</v>
      </c>
      <c r="G280" s="2" t="str">
        <f aca="false">IF(A280=0,"-",D280+G278)</f>
        <v>-</v>
      </c>
    </row>
    <row r="281" customFormat="false" ht="13.8" hidden="false" customHeight="false" outlineLevel="0" collapsed="false">
      <c r="B281" s="3"/>
      <c r="C281" s="2" t="str">
        <f aca="false">IF(B281=0,"-",B281-A280)</f>
        <v>-</v>
      </c>
      <c r="E281" s="2" t="str">
        <f aca="false">IF(B281=0,"-",E280+D281+C281)</f>
        <v>-</v>
      </c>
      <c r="F281" s="5" t="str">
        <f aca="false">IF(B281=0,"-",E281*0.5)</f>
        <v>-</v>
      </c>
      <c r="H281" s="4" t="str">
        <f aca="false">IF(B281=0,"-",IF(G280&gt;F281,"YES","NO"))</f>
        <v>-</v>
      </c>
      <c r="I281" s="3" t="str">
        <f aca="false">IF(B281=0,"*",B281+(2*(F281-G280)))</f>
        <v>*</v>
      </c>
      <c r="K281" s="5" t="str">
        <f aca="false">IF(B281=0,"*",F281-G280)</f>
        <v>*</v>
      </c>
    </row>
    <row r="282" customFormat="false" ht="13.8" hidden="false" customHeight="false" outlineLevel="0" collapsed="false">
      <c r="A282" s="3"/>
      <c r="D282" s="2" t="str">
        <f aca="false">IF(A282=0,"-",A282-B281)</f>
        <v>-</v>
      </c>
      <c r="E282" s="2" t="str">
        <f aca="false">IF(A282=0,"-",E281+D282+C282)</f>
        <v>-</v>
      </c>
      <c r="G282" s="2" t="str">
        <f aca="false">IF(A282=0,"-",D282+G280)</f>
        <v>-</v>
      </c>
    </row>
    <row r="283" customFormat="false" ht="13.8" hidden="false" customHeight="false" outlineLevel="0" collapsed="false">
      <c r="B283" s="3"/>
      <c r="C283" s="2" t="str">
        <f aca="false">IF(B283=0,"-",B283-A282)</f>
        <v>-</v>
      </c>
      <c r="E283" s="2" t="str">
        <f aca="false">IF(B283=0,"-",E282+D283+C283)</f>
        <v>-</v>
      </c>
      <c r="F283" s="5" t="str">
        <f aca="false">IF(B283=0,"-",E283*0.5)</f>
        <v>-</v>
      </c>
      <c r="H283" s="4" t="str">
        <f aca="false">IF(B283=0,"-",IF(G282&gt;F283,"YES","NO"))</f>
        <v>-</v>
      </c>
      <c r="I283" s="3" t="str">
        <f aca="false">IF(B283=0,"*",B283+(2*(F283-G282)))</f>
        <v>*</v>
      </c>
      <c r="K283" s="5" t="str">
        <f aca="false">IF(B283=0,"*",F283-G282)</f>
        <v>*</v>
      </c>
    </row>
    <row r="284" customFormat="false" ht="13.8" hidden="false" customHeight="false" outlineLevel="0" collapsed="false">
      <c r="A284" s="3"/>
      <c r="D284" s="2" t="str">
        <f aca="false">IF(A284=0,"-",A284-B283)</f>
        <v>-</v>
      </c>
      <c r="E284" s="2" t="str">
        <f aca="false">IF(A284=0,"-",E283+D284+C284)</f>
        <v>-</v>
      </c>
      <c r="G284" s="2" t="str">
        <f aca="false">IF(A284=0,"-",D284+G282)</f>
        <v>-</v>
      </c>
    </row>
    <row r="285" customFormat="false" ht="13.8" hidden="false" customHeight="false" outlineLevel="0" collapsed="false">
      <c r="B285" s="3"/>
      <c r="C285" s="2" t="str">
        <f aca="false">IF(B285=0,"-",B285-A284)</f>
        <v>-</v>
      </c>
      <c r="E285" s="2" t="str">
        <f aca="false">IF(B285=0,"-",E284+D285+C285)</f>
        <v>-</v>
      </c>
      <c r="F285" s="5" t="str">
        <f aca="false">IF(B285=0,"-",E285*0.5)</f>
        <v>-</v>
      </c>
      <c r="H285" s="4" t="str">
        <f aca="false">IF(B285=0,"-",IF(G284&gt;F285,"YES","NO"))</f>
        <v>-</v>
      </c>
      <c r="I285" s="3" t="str">
        <f aca="false">IF(B285=0,"*",B285+(2*(F285-G284)))</f>
        <v>*</v>
      </c>
      <c r="K285" s="5" t="str">
        <f aca="false">IF(B285=0,"*",F285-G284)</f>
        <v>*</v>
      </c>
    </row>
    <row r="286" customFormat="false" ht="13.8" hidden="false" customHeight="false" outlineLevel="0" collapsed="false">
      <c r="A286" s="3"/>
      <c r="D286" s="2" t="str">
        <f aca="false">IF(A286=0,"-",A286-B285)</f>
        <v>-</v>
      </c>
      <c r="E286" s="2" t="str">
        <f aca="false">IF(A286=0,"-",E285+D286+C286)</f>
        <v>-</v>
      </c>
      <c r="G286" s="2" t="str">
        <f aca="false">IF(A286=0,"-",D286+G284)</f>
        <v>-</v>
      </c>
    </row>
    <row r="287" customFormat="false" ht="13.8" hidden="false" customHeight="false" outlineLevel="0" collapsed="false">
      <c r="B287" s="3"/>
      <c r="C287" s="2" t="str">
        <f aca="false">IF(B287=0,"-",B287-A286)</f>
        <v>-</v>
      </c>
      <c r="E287" s="2" t="str">
        <f aca="false">IF(B287=0,"-",E286+D287+C287)</f>
        <v>-</v>
      </c>
      <c r="F287" s="5" t="str">
        <f aca="false">IF(B287=0,"-",E287*0.5)</f>
        <v>-</v>
      </c>
      <c r="H287" s="4" t="str">
        <f aca="false">IF(B287=0,"-",IF(G286&gt;F287,"YES","NO"))</f>
        <v>-</v>
      </c>
      <c r="I287" s="3" t="str">
        <f aca="false">IF(B287=0,"*",B287+(2*(F287-G286)))</f>
        <v>*</v>
      </c>
      <c r="K287" s="5" t="str">
        <f aca="false">IF(B287=0,"*",F287-G286)</f>
        <v>*</v>
      </c>
    </row>
    <row r="288" customFormat="false" ht="13.8" hidden="false" customHeight="false" outlineLevel="0" collapsed="false">
      <c r="A288" s="3"/>
      <c r="D288" s="2" t="str">
        <f aca="false">IF(A288=0,"-",A288-B287)</f>
        <v>-</v>
      </c>
      <c r="E288" s="2" t="str">
        <f aca="false">IF(A288=0,"-",E287+D288+C288)</f>
        <v>-</v>
      </c>
      <c r="G288" s="2" t="str">
        <f aca="false">IF(A288=0,"-",D288+G286)</f>
        <v>-</v>
      </c>
    </row>
    <row r="289" customFormat="false" ht="13.8" hidden="false" customHeight="false" outlineLevel="0" collapsed="false">
      <c r="B289" s="3"/>
      <c r="C289" s="2" t="str">
        <f aca="false">IF(B289=0,"-",B289-A288)</f>
        <v>-</v>
      </c>
      <c r="E289" s="2" t="str">
        <f aca="false">IF(B289=0,"-",E288+D289+C289)</f>
        <v>-</v>
      </c>
      <c r="F289" s="5" t="str">
        <f aca="false">IF(B289=0,"-",E289*0.5)</f>
        <v>-</v>
      </c>
      <c r="H289" s="4" t="str">
        <f aca="false">IF(B289=0,"-",IF(G288&gt;F289,"YES","NO"))</f>
        <v>-</v>
      </c>
      <c r="I289" s="3" t="str">
        <f aca="false">IF(B289=0,"*",B289+(2*(F289-G288)))</f>
        <v>*</v>
      </c>
      <c r="K289" s="5" t="str">
        <f aca="false">IF(B289=0,"*",F289-G288)</f>
        <v>*</v>
      </c>
    </row>
    <row r="290" customFormat="false" ht="13.8" hidden="false" customHeight="false" outlineLevel="0" collapsed="false">
      <c r="A290" s="3"/>
      <c r="D290" s="2" t="str">
        <f aca="false">IF(A290=0,"-",A290-B289)</f>
        <v>-</v>
      </c>
      <c r="E290" s="2" t="str">
        <f aca="false">IF(A290=0,"-",E289+D290+C290)</f>
        <v>-</v>
      </c>
      <c r="G290" s="2" t="str">
        <f aca="false">IF(A290=0,"-",D290+G288)</f>
        <v>-</v>
      </c>
    </row>
    <row r="291" customFormat="false" ht="13.8" hidden="false" customHeight="false" outlineLevel="0" collapsed="false">
      <c r="B291" s="3"/>
      <c r="C291" s="2" t="str">
        <f aca="false">IF(B291=0,"-",B291-A290)</f>
        <v>-</v>
      </c>
      <c r="E291" s="2" t="str">
        <f aca="false">IF(B291=0,"-",E290+D291+C291)</f>
        <v>-</v>
      </c>
      <c r="F291" s="5" t="str">
        <f aca="false">IF(B291=0,"-",E291*0.5)</f>
        <v>-</v>
      </c>
      <c r="H291" s="4" t="str">
        <f aca="false">IF(B291=0,"-",IF(G290&gt;F291,"YES","NO"))</f>
        <v>-</v>
      </c>
      <c r="I291" s="3" t="str">
        <f aca="false">IF(B291=0,"*",B291+(2*(F291-G290)))</f>
        <v>*</v>
      </c>
      <c r="K291" s="5" t="str">
        <f aca="false">IF(B291=0,"*",F291-G290)</f>
        <v>*</v>
      </c>
    </row>
    <row r="292" customFormat="false" ht="13.8" hidden="false" customHeight="false" outlineLevel="0" collapsed="false">
      <c r="A292" s="3"/>
      <c r="D292" s="2" t="str">
        <f aca="false">IF(A292=0,"-",A292-B291)</f>
        <v>-</v>
      </c>
      <c r="E292" s="2" t="str">
        <f aca="false">IF(A292=0,"-",E291+D292+C292)</f>
        <v>-</v>
      </c>
      <c r="G292" s="2" t="str">
        <f aca="false">IF(A292=0,"-",D292+G290)</f>
        <v>-</v>
      </c>
    </row>
    <row r="293" customFormat="false" ht="13.8" hidden="false" customHeight="false" outlineLevel="0" collapsed="false">
      <c r="B293" s="3"/>
      <c r="C293" s="2" t="str">
        <f aca="false">IF(B293=0,"-",B293-A292)</f>
        <v>-</v>
      </c>
      <c r="E293" s="2" t="str">
        <f aca="false">IF(B293=0,"-",E292+D293+C293)</f>
        <v>-</v>
      </c>
      <c r="F293" s="5" t="str">
        <f aca="false">IF(B293=0,"-",E293*0.5)</f>
        <v>-</v>
      </c>
      <c r="H293" s="4" t="str">
        <f aca="false">IF(B293=0,"-",IF(G292&gt;F293,"YES","NO"))</f>
        <v>-</v>
      </c>
      <c r="I293" s="3" t="str">
        <f aca="false">IF(B293=0,"*",B293+(2*(F293-G292)))</f>
        <v>*</v>
      </c>
      <c r="K293" s="5" t="str">
        <f aca="false">IF(B293=0,"*",F293-G292)</f>
        <v>*</v>
      </c>
    </row>
    <row r="294" customFormat="false" ht="13.8" hidden="false" customHeight="false" outlineLevel="0" collapsed="false">
      <c r="A294" s="3"/>
      <c r="D294" s="2" t="str">
        <f aca="false">IF(A294=0,"-",A294-B293)</f>
        <v>-</v>
      </c>
      <c r="E294" s="2" t="str">
        <f aca="false">IF(A294=0,"-",E293+D294+C294)</f>
        <v>-</v>
      </c>
      <c r="G294" s="2" t="str">
        <f aca="false">IF(A294=0,"-",D294+G292)</f>
        <v>-</v>
      </c>
    </row>
    <row r="295" customFormat="false" ht="13.8" hidden="false" customHeight="false" outlineLevel="0" collapsed="false">
      <c r="B295" s="3"/>
      <c r="C295" s="2" t="str">
        <f aca="false">IF(B295=0,"-",B295-A294)</f>
        <v>-</v>
      </c>
      <c r="E295" s="2" t="str">
        <f aca="false">IF(B295=0,"-",E294+D295+C295)</f>
        <v>-</v>
      </c>
      <c r="F295" s="5" t="str">
        <f aca="false">IF(B295=0,"-",E295*0.5)</f>
        <v>-</v>
      </c>
      <c r="H295" s="4" t="str">
        <f aca="false">IF(B295=0,"-",IF(G294&gt;F295,"YES","NO"))</f>
        <v>-</v>
      </c>
      <c r="I295" s="3" t="str">
        <f aca="false">IF(B295=0,"*",B295+(2*(F295-G294)))</f>
        <v>*</v>
      </c>
      <c r="K295" s="5" t="str">
        <f aca="false">IF(B295=0,"*",F295-G294)</f>
        <v>*</v>
      </c>
    </row>
    <row r="296" customFormat="false" ht="13.8" hidden="false" customHeight="false" outlineLevel="0" collapsed="false">
      <c r="A296" s="3"/>
      <c r="D296" s="2" t="str">
        <f aca="false">IF(A296=0,"-",A296-B295)</f>
        <v>-</v>
      </c>
      <c r="E296" s="2" t="str">
        <f aca="false">IF(A296=0,"-",E295+D296+C296)</f>
        <v>-</v>
      </c>
      <c r="G296" s="2" t="str">
        <f aca="false">IF(A296=0,"-",D296+G294)</f>
        <v>-</v>
      </c>
    </row>
    <row r="297" customFormat="false" ht="13.8" hidden="false" customHeight="false" outlineLevel="0" collapsed="false">
      <c r="B297" s="3"/>
      <c r="C297" s="2" t="str">
        <f aca="false">IF(B297=0,"-",B297-A296)</f>
        <v>-</v>
      </c>
      <c r="E297" s="2" t="str">
        <f aca="false">IF(B297=0,"-",E296+D297+C297)</f>
        <v>-</v>
      </c>
      <c r="F297" s="5" t="str">
        <f aca="false">IF(B297=0,"-",E297*0.5)</f>
        <v>-</v>
      </c>
      <c r="H297" s="4" t="str">
        <f aca="false">IF(B297=0,"-",IF(G296&gt;F297,"YES","NO"))</f>
        <v>-</v>
      </c>
      <c r="I297" s="3" t="str">
        <f aca="false">IF(B297=0,"*",B297+(2*(F297-G296)))</f>
        <v>*</v>
      </c>
      <c r="K297" s="5" t="str">
        <f aca="false">IF(B297=0,"*",F297-G296)</f>
        <v>*</v>
      </c>
    </row>
    <row r="298" customFormat="false" ht="13.8" hidden="false" customHeight="false" outlineLevel="0" collapsed="false">
      <c r="A298" s="3"/>
      <c r="D298" s="2" t="str">
        <f aca="false">IF(A298=0,"-",A298-B297)</f>
        <v>-</v>
      </c>
      <c r="E298" s="2" t="str">
        <f aca="false">IF(A298=0,"-",E297+D298+C298)</f>
        <v>-</v>
      </c>
      <c r="G298" s="2" t="str">
        <f aca="false">IF(A298=0,"-",D298+G296)</f>
        <v>-</v>
      </c>
    </row>
    <row r="299" customFormat="false" ht="13.8" hidden="false" customHeight="false" outlineLevel="0" collapsed="false">
      <c r="B299" s="3"/>
      <c r="C299" s="2" t="str">
        <f aca="false">IF(B299=0,"-",B299-A298)</f>
        <v>-</v>
      </c>
      <c r="E299" s="2" t="str">
        <f aca="false">IF(B299=0,"-",E298+D299+C299)</f>
        <v>-</v>
      </c>
      <c r="F299" s="5" t="str">
        <f aca="false">IF(B299=0,"-",E299*0.5)</f>
        <v>-</v>
      </c>
      <c r="H299" s="4" t="str">
        <f aca="false">IF(B299=0,"-",IF(G298&gt;F299,"YES","NO"))</f>
        <v>-</v>
      </c>
      <c r="I299" s="3" t="str">
        <f aca="false">IF(B299=0,"*",B299+(2*(F299-G298)))</f>
        <v>*</v>
      </c>
      <c r="K299" s="5" t="str">
        <f aca="false">IF(B299=0,"*",F299-G298)</f>
        <v>*</v>
      </c>
    </row>
    <row r="300" customFormat="false" ht="13.8" hidden="false" customHeight="false" outlineLevel="0" collapsed="false">
      <c r="A300" s="3"/>
      <c r="D300" s="2" t="str">
        <f aca="false">IF(A300=0,"-",A300-B299)</f>
        <v>-</v>
      </c>
      <c r="E300" s="2" t="str">
        <f aca="false">IF(A300=0,"-",E299+D300+C300)</f>
        <v>-</v>
      </c>
      <c r="G300" s="2" t="str">
        <f aca="false">IF(A300=0,"-",D300+G298)</f>
        <v>-</v>
      </c>
    </row>
    <row r="301" customFormat="false" ht="13.8" hidden="false" customHeight="false" outlineLevel="0" collapsed="false">
      <c r="B301" s="3"/>
      <c r="C301" s="2" t="str">
        <f aca="false">IF(B301=0,"-",B301-A300)</f>
        <v>-</v>
      </c>
      <c r="E301" s="2" t="str">
        <f aca="false">IF(B301=0,"-",E300+D301+C301)</f>
        <v>-</v>
      </c>
      <c r="F301" s="5" t="str">
        <f aca="false">IF(B301=0,"-",E301*0.5)</f>
        <v>-</v>
      </c>
      <c r="H301" s="4" t="str">
        <f aca="false">IF(B301=0,"-",IF(G300&gt;F301,"YES","NO"))</f>
        <v>-</v>
      </c>
      <c r="I301" s="3" t="str">
        <f aca="false">IF(B301=0,"*",B301+(2*(F301-G300)))</f>
        <v>*</v>
      </c>
      <c r="K301" s="5" t="str">
        <f aca="false">IF(B301=0,"*",F301-G300)</f>
        <v>*</v>
      </c>
    </row>
    <row r="302" customFormat="false" ht="13.8" hidden="false" customHeight="false" outlineLevel="0" collapsed="false">
      <c r="A302" s="3"/>
      <c r="D302" s="2" t="str">
        <f aca="false">IF(A302=0,"-",A302-B301)</f>
        <v>-</v>
      </c>
      <c r="E302" s="2" t="str">
        <f aca="false">IF(A302=0,"-",E301+D302+C302)</f>
        <v>-</v>
      </c>
      <c r="G302" s="2" t="str">
        <f aca="false">IF(A302=0,"-",D302+G300)</f>
        <v>-</v>
      </c>
    </row>
    <row r="303" customFormat="false" ht="13.8" hidden="false" customHeight="false" outlineLevel="0" collapsed="false">
      <c r="B303" s="3"/>
      <c r="C303" s="2" t="str">
        <f aca="false">IF(B303=0,"-",B303-A302)</f>
        <v>-</v>
      </c>
      <c r="E303" s="2" t="str">
        <f aca="false">IF(B303=0,"-",E302+D303+C303)</f>
        <v>-</v>
      </c>
      <c r="F303" s="5" t="str">
        <f aca="false">IF(B303=0,"-",E303*0.5)</f>
        <v>-</v>
      </c>
      <c r="H303" s="4" t="str">
        <f aca="false">IF(B303=0,"-",IF(G302&gt;F303,"YES","NO"))</f>
        <v>-</v>
      </c>
      <c r="I303" s="3" t="str">
        <f aca="false">IF(B303=0,"*",B303+(2*(F303-G302)))</f>
        <v>*</v>
      </c>
      <c r="K303" s="5" t="str">
        <f aca="false">IF(B303=0,"*",F303-G302)</f>
        <v>*</v>
      </c>
    </row>
    <row r="304" customFormat="false" ht="13.8" hidden="false" customHeight="false" outlineLevel="0" collapsed="false">
      <c r="A304" s="3"/>
      <c r="D304" s="2" t="str">
        <f aca="false">IF(A304=0,"-",A304-B303)</f>
        <v>-</v>
      </c>
      <c r="E304" s="2" t="str">
        <f aca="false">IF(A304=0,"-",E303+D304+C304)</f>
        <v>-</v>
      </c>
      <c r="G304" s="2" t="str">
        <f aca="false">IF(A304=0,"-",D304+G302)</f>
        <v>-</v>
      </c>
    </row>
    <row r="305" customFormat="false" ht="13.8" hidden="false" customHeight="false" outlineLevel="0" collapsed="false">
      <c r="B305" s="3"/>
      <c r="C305" s="2" t="str">
        <f aca="false">IF(B305=0,"-",B305-A304)</f>
        <v>-</v>
      </c>
      <c r="E305" s="2" t="str">
        <f aca="false">IF(B305=0,"-",E304+D305+C305)</f>
        <v>-</v>
      </c>
      <c r="F305" s="5" t="str">
        <f aca="false">IF(B305=0,"-",E305*0.5)</f>
        <v>-</v>
      </c>
      <c r="H305" s="4" t="str">
        <f aca="false">IF(B305=0,"-",IF(G304&gt;F305,"YES","NO"))</f>
        <v>-</v>
      </c>
      <c r="I305" s="3" t="str">
        <f aca="false">IF(B305=0,"*",B305+(2*(F305-G304)))</f>
        <v>*</v>
      </c>
      <c r="K305" s="5" t="str">
        <f aca="false">IF(B305=0,"*",F305-G304)</f>
        <v>*</v>
      </c>
    </row>
    <row r="306" customFormat="false" ht="13.8" hidden="false" customHeight="false" outlineLevel="0" collapsed="false">
      <c r="A306" s="3"/>
      <c r="D306" s="2" t="str">
        <f aca="false">IF(A306=0,"-",A306-B305)</f>
        <v>-</v>
      </c>
      <c r="E306" s="2" t="str">
        <f aca="false">IF(A306=0,"-",E305+D306+C306)</f>
        <v>-</v>
      </c>
      <c r="G306" s="2" t="str">
        <f aca="false">IF(A306=0,"-",D306+G304)</f>
        <v>-</v>
      </c>
    </row>
    <row r="307" customFormat="false" ht="13.8" hidden="false" customHeight="false" outlineLevel="0" collapsed="false">
      <c r="B307" s="3"/>
      <c r="C307" s="2" t="str">
        <f aca="false">IF(B307=0,"-",B307-A306)</f>
        <v>-</v>
      </c>
      <c r="E307" s="2" t="str">
        <f aca="false">IF(B307=0,"-",E306+D307+C307)</f>
        <v>-</v>
      </c>
      <c r="F307" s="5" t="str">
        <f aca="false">IF(B307=0,"-",E307*0.5)</f>
        <v>-</v>
      </c>
      <c r="H307" s="4" t="str">
        <f aca="false">IF(B307=0,"-",IF(G306&gt;F307,"YES","NO"))</f>
        <v>-</v>
      </c>
      <c r="I307" s="3" t="str">
        <f aca="false">IF(B307=0,"*",B307+(2*(F307-G306)))</f>
        <v>*</v>
      </c>
      <c r="K307" s="5" t="str">
        <f aca="false">IF(B307=0,"*",F307-G306)</f>
        <v>*</v>
      </c>
    </row>
    <row r="308" customFormat="false" ht="13.8" hidden="false" customHeight="false" outlineLevel="0" collapsed="false">
      <c r="A308" s="3"/>
      <c r="D308" s="2" t="str">
        <f aca="false">IF(A308=0,"-",A308-B307)</f>
        <v>-</v>
      </c>
      <c r="E308" s="2" t="str">
        <f aca="false">IF(A308=0,"-",E307+D308+C308)</f>
        <v>-</v>
      </c>
      <c r="G308" s="2" t="str">
        <f aca="false">IF(A308=0,"-",D308+G306)</f>
        <v>-</v>
      </c>
    </row>
    <row r="309" customFormat="false" ht="13.8" hidden="false" customHeight="false" outlineLevel="0" collapsed="false">
      <c r="B309" s="3"/>
      <c r="C309" s="2" t="str">
        <f aca="false">IF(B309=0,"-",B309-A308)</f>
        <v>-</v>
      </c>
      <c r="E309" s="2" t="str">
        <f aca="false">IF(B309=0,"-",E308+D309+C309)</f>
        <v>-</v>
      </c>
      <c r="F309" s="5" t="str">
        <f aca="false">IF(B309=0,"-",E309*0.5)</f>
        <v>-</v>
      </c>
      <c r="H309" s="4" t="str">
        <f aca="false">IF(B309=0,"-",IF(G308&gt;F309,"YES","NO"))</f>
        <v>-</v>
      </c>
      <c r="I309" s="3" t="str">
        <f aca="false">IF(B309=0,"*",B309+(2*(F309-G308)))</f>
        <v>*</v>
      </c>
      <c r="K309" s="5" t="str">
        <f aca="false">IF(B309=0,"*",F309-G308)</f>
        <v>*</v>
      </c>
    </row>
    <row r="310" customFormat="false" ht="13.8" hidden="false" customHeight="false" outlineLevel="0" collapsed="false">
      <c r="A310" s="3"/>
      <c r="D310" s="2" t="str">
        <f aca="false">IF(A310=0,"-",A310-B309)</f>
        <v>-</v>
      </c>
      <c r="E310" s="2" t="str">
        <f aca="false">IF(A310=0,"-",E309+D310+C310)</f>
        <v>-</v>
      </c>
      <c r="G310" s="2" t="str">
        <f aca="false">IF(A310=0,"-",D310+G308)</f>
        <v>-</v>
      </c>
    </row>
    <row r="311" customFormat="false" ht="13.8" hidden="false" customHeight="false" outlineLevel="0" collapsed="false">
      <c r="B311" s="3"/>
      <c r="C311" s="2" t="str">
        <f aca="false">IF(B311=0,"-",B311-A310)</f>
        <v>-</v>
      </c>
      <c r="E311" s="2" t="str">
        <f aca="false">IF(B311=0,"-",E310+D311+C311)</f>
        <v>-</v>
      </c>
      <c r="F311" s="5" t="str">
        <f aca="false">IF(B311=0,"-",E311*0.5)</f>
        <v>-</v>
      </c>
      <c r="H311" s="4" t="str">
        <f aca="false">IF(B311=0,"-",IF(G310&gt;F311,"YES","NO"))</f>
        <v>-</v>
      </c>
      <c r="I311" s="3" t="str">
        <f aca="false">IF(B311=0,"*",B311+(2*(F311-G310)))</f>
        <v>*</v>
      </c>
      <c r="K311" s="5" t="str">
        <f aca="false">IF(B311=0,"*",F311-G310)</f>
        <v>*</v>
      </c>
    </row>
    <row r="312" customFormat="false" ht="13.8" hidden="false" customHeight="false" outlineLevel="0" collapsed="false">
      <c r="A312" s="3"/>
      <c r="D312" s="2" t="str">
        <f aca="false">IF(A312=0,"-",A312-B311)</f>
        <v>-</v>
      </c>
      <c r="E312" s="2" t="str">
        <f aca="false">IF(A312=0,"-",E311+D312+C312)</f>
        <v>-</v>
      </c>
      <c r="G312" s="2" t="str">
        <f aca="false">IF(A312=0,"-",D312+G310)</f>
        <v>-</v>
      </c>
    </row>
    <row r="313" customFormat="false" ht="13.8" hidden="false" customHeight="false" outlineLevel="0" collapsed="false">
      <c r="B313" s="3"/>
      <c r="C313" s="2" t="str">
        <f aca="false">IF(B313=0,"-",B313-A312)</f>
        <v>-</v>
      </c>
      <c r="E313" s="2" t="str">
        <f aca="false">IF(B313=0,"-",E312+D313+C313)</f>
        <v>-</v>
      </c>
      <c r="F313" s="5" t="str">
        <f aca="false">IF(B313=0,"-",E313*0.5)</f>
        <v>-</v>
      </c>
      <c r="H313" s="4" t="str">
        <f aca="false">IF(B313=0,"-",IF(G312&gt;F313,"YES","NO"))</f>
        <v>-</v>
      </c>
      <c r="I313" s="3" t="str">
        <f aca="false">IF(B313=0,"*",B313+(2*(F313-G312)))</f>
        <v>*</v>
      </c>
      <c r="K313" s="5" t="str">
        <f aca="false">IF(B313=0,"*",F313-G312)</f>
        <v>*</v>
      </c>
    </row>
    <row r="314" customFormat="false" ht="13.8" hidden="false" customHeight="false" outlineLevel="0" collapsed="false">
      <c r="A314" s="3"/>
      <c r="D314" s="2" t="str">
        <f aca="false">IF(A314=0,"-",A314-B313)</f>
        <v>-</v>
      </c>
      <c r="E314" s="2" t="str">
        <f aca="false">IF(A314=0,"-",E313+D314+C314)</f>
        <v>-</v>
      </c>
      <c r="G314" s="2" t="str">
        <f aca="false">IF(A314=0,"-",D314+G312)</f>
        <v>-</v>
      </c>
    </row>
    <row r="315" customFormat="false" ht="13.8" hidden="false" customHeight="false" outlineLevel="0" collapsed="false">
      <c r="B315" s="3"/>
      <c r="C315" s="2" t="str">
        <f aca="false">IF(B315=0,"-",B315-A314)</f>
        <v>-</v>
      </c>
      <c r="E315" s="2" t="str">
        <f aca="false">IF(B315=0,"-",E314+D315+C315)</f>
        <v>-</v>
      </c>
      <c r="F315" s="5" t="str">
        <f aca="false">IF(B315=0,"-",E315*0.5)</f>
        <v>-</v>
      </c>
      <c r="H315" s="4" t="str">
        <f aca="false">IF(B315=0,"-",IF(G314&gt;F315,"YES","NO"))</f>
        <v>-</v>
      </c>
      <c r="I315" s="3" t="str">
        <f aca="false">IF(B315=0,"*",B315+(2*(F315-G314)))</f>
        <v>*</v>
      </c>
      <c r="K315" s="5" t="str">
        <f aca="false">IF(B315=0,"*",F315-G314)</f>
        <v>*</v>
      </c>
    </row>
    <row r="316" customFormat="false" ht="13.8" hidden="false" customHeight="false" outlineLevel="0" collapsed="false">
      <c r="A316" s="3"/>
      <c r="D316" s="2" t="str">
        <f aca="false">IF(A316=0,"-",A316-B315)</f>
        <v>-</v>
      </c>
      <c r="E316" s="2" t="str">
        <f aca="false">IF(A316=0,"-",E315+D316+C316)</f>
        <v>-</v>
      </c>
      <c r="G316" s="2" t="str">
        <f aca="false">IF(A316=0,"-",D316+G314)</f>
        <v>-</v>
      </c>
    </row>
    <row r="317" customFormat="false" ht="13.8" hidden="false" customHeight="false" outlineLevel="0" collapsed="false">
      <c r="B317" s="3"/>
      <c r="C317" s="2" t="str">
        <f aca="false">IF(B317=0,"-",B317-A316)</f>
        <v>-</v>
      </c>
      <c r="E317" s="2" t="str">
        <f aca="false">IF(B317=0,"-",E316+D317+C317)</f>
        <v>-</v>
      </c>
      <c r="F317" s="5" t="str">
        <f aca="false">IF(B317=0,"-",E317*0.5)</f>
        <v>-</v>
      </c>
      <c r="H317" s="4" t="str">
        <f aca="false">IF(B317=0,"-",IF(G316&gt;F317,"YES","NO"))</f>
        <v>-</v>
      </c>
      <c r="I317" s="3" t="str">
        <f aca="false">IF(B317=0,"*",B317+(2*(F317-G316)))</f>
        <v>*</v>
      </c>
      <c r="K317" s="5" t="str">
        <f aca="false">IF(B317=0,"*",F317-G316)</f>
        <v>*</v>
      </c>
    </row>
    <row r="318" customFormat="false" ht="13.8" hidden="false" customHeight="false" outlineLevel="0" collapsed="false">
      <c r="A318" s="3"/>
      <c r="D318" s="2" t="str">
        <f aca="false">IF(A318=0,"-",A318-B317)</f>
        <v>-</v>
      </c>
      <c r="E318" s="2" t="str">
        <f aca="false">IF(A318=0,"-",E317+D318+C318)</f>
        <v>-</v>
      </c>
      <c r="G318" s="2" t="str">
        <f aca="false">IF(A318=0,"-",D318+G316)</f>
        <v>-</v>
      </c>
    </row>
    <row r="319" customFormat="false" ht="13.8" hidden="false" customHeight="false" outlineLevel="0" collapsed="false">
      <c r="B319" s="3"/>
      <c r="C319" s="2" t="str">
        <f aca="false">IF(B319=0,"-",B319-A318)</f>
        <v>-</v>
      </c>
      <c r="E319" s="2" t="str">
        <f aca="false">IF(B319=0,"-",E318+D319+C319)</f>
        <v>-</v>
      </c>
      <c r="F319" s="5" t="str">
        <f aca="false">IF(B319=0,"-",E319*0.5)</f>
        <v>-</v>
      </c>
      <c r="H319" s="4" t="str">
        <f aca="false">IF(B319=0,"-",IF(G318&gt;F319,"YES","NO"))</f>
        <v>-</v>
      </c>
      <c r="I319" s="3" t="str">
        <f aca="false">IF(B319=0,"*",B319+(2*(F319-G318)))</f>
        <v>*</v>
      </c>
      <c r="K319" s="5" t="str">
        <f aca="false">IF(B319=0,"*",F319-G318)</f>
        <v>*</v>
      </c>
    </row>
    <row r="320" customFormat="false" ht="13.8" hidden="false" customHeight="false" outlineLevel="0" collapsed="false">
      <c r="A320" s="3"/>
      <c r="D320" s="2" t="str">
        <f aca="false">IF(A320=0,"-",A320-B319)</f>
        <v>-</v>
      </c>
      <c r="E320" s="2" t="str">
        <f aca="false">IF(A320=0,"-",E319+D320+C320)</f>
        <v>-</v>
      </c>
      <c r="G320" s="2" t="str">
        <f aca="false">IF(A320=0,"-",D320+G318)</f>
        <v>-</v>
      </c>
    </row>
    <row r="321" customFormat="false" ht="13.8" hidden="false" customHeight="false" outlineLevel="0" collapsed="false">
      <c r="B321" s="3"/>
      <c r="C321" s="2" t="str">
        <f aca="false">IF(B321=0,"-",B321-A320)</f>
        <v>-</v>
      </c>
      <c r="E321" s="2" t="str">
        <f aca="false">IF(B321=0,"-",E320+D321+C321)</f>
        <v>-</v>
      </c>
      <c r="F321" s="5" t="str">
        <f aca="false">IF(B321=0,"-",E321*0.5)</f>
        <v>-</v>
      </c>
      <c r="H321" s="4" t="str">
        <f aca="false">IF(B321=0,"-",IF(G320&gt;F321,"YES","NO"))</f>
        <v>-</v>
      </c>
      <c r="I321" s="3" t="str">
        <f aca="false">IF(B321=0,"*",B321+(2*(F321-G320)))</f>
        <v>*</v>
      </c>
      <c r="K321" s="5" t="str">
        <f aca="false">IF(B321=0,"*",F321-G320)</f>
        <v>*</v>
      </c>
    </row>
    <row r="322" customFormat="false" ht="13.8" hidden="false" customHeight="false" outlineLevel="0" collapsed="false">
      <c r="A322" s="3"/>
      <c r="D322" s="2" t="str">
        <f aca="false">IF(A322=0,"-",A322-B321)</f>
        <v>-</v>
      </c>
      <c r="E322" s="2" t="str">
        <f aca="false">IF(A322=0,"-",E321+D322+C322)</f>
        <v>-</v>
      </c>
      <c r="G322" s="2" t="str">
        <f aca="false">IF(A322=0,"-",D322+G320)</f>
        <v>-</v>
      </c>
    </row>
    <row r="323" customFormat="false" ht="13.8" hidden="false" customHeight="false" outlineLevel="0" collapsed="false">
      <c r="B323" s="3"/>
      <c r="C323" s="2" t="str">
        <f aca="false">IF(B323=0,"-",B323-A322)</f>
        <v>-</v>
      </c>
      <c r="E323" s="2" t="str">
        <f aca="false">IF(B323=0,"-",E322+D323+C323)</f>
        <v>-</v>
      </c>
      <c r="F323" s="5" t="str">
        <f aca="false">IF(B323=0,"-",E323*0.5)</f>
        <v>-</v>
      </c>
      <c r="H323" s="4" t="str">
        <f aca="false">IF(B323=0,"-",IF(G322&gt;F323,"YES","NO"))</f>
        <v>-</v>
      </c>
      <c r="I323" s="3" t="str">
        <f aca="false">IF(B323=0,"*",B323+(2*(F323-G322)))</f>
        <v>*</v>
      </c>
      <c r="K323" s="5" t="str">
        <f aca="false">IF(B323=0,"*",F323-G322)</f>
        <v>*</v>
      </c>
    </row>
    <row r="324" customFormat="false" ht="13.8" hidden="false" customHeight="false" outlineLevel="0" collapsed="false">
      <c r="A324" s="3"/>
      <c r="D324" s="2" t="str">
        <f aca="false">IF(A324=0,"-",A324-B323)</f>
        <v>-</v>
      </c>
      <c r="E324" s="2" t="str">
        <f aca="false">IF(A324=0,"-",E323+D324+C324)</f>
        <v>-</v>
      </c>
      <c r="G324" s="2" t="str">
        <f aca="false">IF(A324=0,"-",D324+G322)</f>
        <v>-</v>
      </c>
    </row>
    <row r="325" customFormat="false" ht="13.8" hidden="false" customHeight="false" outlineLevel="0" collapsed="false">
      <c r="B325" s="3"/>
      <c r="C325" s="2" t="str">
        <f aca="false">IF(B325=0,"-",B325-A324)</f>
        <v>-</v>
      </c>
      <c r="E325" s="2" t="str">
        <f aca="false">IF(B325=0,"-",E324+D325+C325)</f>
        <v>-</v>
      </c>
      <c r="F325" s="5" t="str">
        <f aca="false">IF(B325=0,"-",E325*0.5)</f>
        <v>-</v>
      </c>
      <c r="H325" s="4" t="str">
        <f aca="false">IF(B325=0,"-",IF(G324&gt;F325,"YES","NO"))</f>
        <v>-</v>
      </c>
      <c r="I325" s="3" t="str">
        <f aca="false">IF(B325=0,"*",B325+(2*(F325-G324)))</f>
        <v>*</v>
      </c>
      <c r="K325" s="5" t="str">
        <f aca="false">IF(B325=0,"*",F325-G324)</f>
        <v>*</v>
      </c>
    </row>
    <row r="326" customFormat="false" ht="13.8" hidden="false" customHeight="false" outlineLevel="0" collapsed="false">
      <c r="A326" s="3"/>
      <c r="D326" s="2" t="str">
        <f aca="false">IF(A326=0,"-",A326-B325)</f>
        <v>-</v>
      </c>
      <c r="E326" s="2" t="str">
        <f aca="false">IF(A326=0,"-",E325+D326+C326)</f>
        <v>-</v>
      </c>
      <c r="G326" s="2" t="str">
        <f aca="false">IF(A326=0,"-",D326+G324)</f>
        <v>-</v>
      </c>
    </row>
    <row r="327" customFormat="false" ht="13.8" hidden="false" customHeight="false" outlineLevel="0" collapsed="false">
      <c r="B327" s="3"/>
      <c r="C327" s="2" t="str">
        <f aca="false">IF(B327=0,"-",B327-A326)</f>
        <v>-</v>
      </c>
      <c r="E327" s="2" t="str">
        <f aca="false">IF(B327=0,"-",E326+D327+C327)</f>
        <v>-</v>
      </c>
      <c r="F327" s="5" t="str">
        <f aca="false">IF(B327=0,"-",E327*0.5)</f>
        <v>-</v>
      </c>
      <c r="H327" s="4" t="str">
        <f aca="false">IF(B327=0,"-",IF(G326&gt;F327,"YES","NO"))</f>
        <v>-</v>
      </c>
      <c r="I327" s="3" t="str">
        <f aca="false">IF(B327=0,"*",B327+(2*(F327-G326)))</f>
        <v>*</v>
      </c>
      <c r="K327" s="5" t="str">
        <f aca="false">IF(B327=0,"*",F327-G326)</f>
        <v>*</v>
      </c>
    </row>
    <row r="328" customFormat="false" ht="13.8" hidden="false" customHeight="false" outlineLevel="0" collapsed="false">
      <c r="A328" s="3"/>
      <c r="D328" s="2" t="str">
        <f aca="false">IF(A328=0,"-",A328-B327)</f>
        <v>-</v>
      </c>
      <c r="E328" s="2" t="str">
        <f aca="false">IF(A328=0,"-",E327+D328+C328)</f>
        <v>-</v>
      </c>
      <c r="G328" s="2" t="str">
        <f aca="false">IF(A328=0,"-",D328+G326)</f>
        <v>-</v>
      </c>
    </row>
    <row r="329" customFormat="false" ht="13.8" hidden="false" customHeight="false" outlineLevel="0" collapsed="false">
      <c r="B329" s="3"/>
      <c r="C329" s="2" t="str">
        <f aca="false">IF(B329=0,"-",B329-A328)</f>
        <v>-</v>
      </c>
      <c r="E329" s="2" t="str">
        <f aca="false">IF(B329=0,"-",E328+D329+C329)</f>
        <v>-</v>
      </c>
      <c r="F329" s="5" t="str">
        <f aca="false">IF(B329=0,"-",E329*0.5)</f>
        <v>-</v>
      </c>
      <c r="H329" s="4" t="str">
        <f aca="false">IF(B329=0,"-",IF(G328&gt;F329,"YES","NO"))</f>
        <v>-</v>
      </c>
      <c r="I329" s="3" t="str">
        <f aca="false">IF(B329=0,"*",B329+(2*(F329-G328)))</f>
        <v>*</v>
      </c>
      <c r="K329" s="5" t="str">
        <f aca="false">IF(B329=0,"*",F329-G328)</f>
        <v>*</v>
      </c>
    </row>
    <row r="330" customFormat="false" ht="13.8" hidden="false" customHeight="false" outlineLevel="0" collapsed="false">
      <c r="A330" s="3"/>
      <c r="D330" s="2" t="str">
        <f aca="false">IF(A330=0,"-",A330-B329)</f>
        <v>-</v>
      </c>
      <c r="E330" s="2" t="str">
        <f aca="false">IF(A330=0,"-",E329+D330+C330)</f>
        <v>-</v>
      </c>
      <c r="G330" s="2" t="str">
        <f aca="false">IF(A330=0,"-",D330+G328)</f>
        <v>-</v>
      </c>
    </row>
    <row r="331" customFormat="false" ht="13.8" hidden="false" customHeight="false" outlineLevel="0" collapsed="false">
      <c r="B331" s="3"/>
      <c r="C331" s="2" t="str">
        <f aca="false">IF(B331=0,"-",B331-A330)</f>
        <v>-</v>
      </c>
      <c r="E331" s="2" t="str">
        <f aca="false">IF(B331=0,"-",E330+D331+C331)</f>
        <v>-</v>
      </c>
      <c r="F331" s="5" t="str">
        <f aca="false">IF(B331=0,"-",E331*0.5)</f>
        <v>-</v>
      </c>
      <c r="H331" s="4" t="str">
        <f aca="false">IF(B331=0,"-",IF(G330&gt;F331,"YES","NO"))</f>
        <v>-</v>
      </c>
      <c r="I331" s="3" t="str">
        <f aca="false">IF(B331=0,"*",B331+(2*(F331-G330)))</f>
        <v>*</v>
      </c>
      <c r="K331" s="5" t="str">
        <f aca="false">IF(B331=0,"*",F331-G330)</f>
        <v>*</v>
      </c>
    </row>
    <row r="332" customFormat="false" ht="13.8" hidden="false" customHeight="false" outlineLevel="0" collapsed="false">
      <c r="A332" s="3"/>
      <c r="D332" s="2" t="str">
        <f aca="false">IF(A332=0,"-",A332-B331)</f>
        <v>-</v>
      </c>
      <c r="E332" s="2" t="str">
        <f aca="false">IF(A332=0,"-",E331+D332+C332)</f>
        <v>-</v>
      </c>
      <c r="G332" s="2" t="str">
        <f aca="false">IF(A332=0,"-",D332+G330)</f>
        <v>-</v>
      </c>
    </row>
    <row r="333" customFormat="false" ht="13.8" hidden="false" customHeight="false" outlineLevel="0" collapsed="false">
      <c r="B333" s="3"/>
      <c r="C333" s="2" t="str">
        <f aca="false">IF(B333=0,"-",B333-A332)</f>
        <v>-</v>
      </c>
      <c r="E333" s="2" t="str">
        <f aca="false">IF(B333=0,"-",E332+D333+C333)</f>
        <v>-</v>
      </c>
      <c r="F333" s="5" t="str">
        <f aca="false">IF(B333=0,"-",E333*0.5)</f>
        <v>-</v>
      </c>
      <c r="H333" s="4" t="str">
        <f aca="false">IF(B333=0,"-",IF(G332&gt;F333,"YES","NO"))</f>
        <v>-</v>
      </c>
      <c r="I333" s="3" t="str">
        <f aca="false">IF(B333=0,"*",B333+(2*(F333-G332)))</f>
        <v>*</v>
      </c>
      <c r="K333" s="5" t="str">
        <f aca="false">IF(B333=0,"*",F333-G332)</f>
        <v>*</v>
      </c>
    </row>
    <row r="334" customFormat="false" ht="13.8" hidden="false" customHeight="false" outlineLevel="0" collapsed="false">
      <c r="A334" s="3"/>
      <c r="D334" s="2" t="str">
        <f aca="false">IF(A334=0,"-",A334-B333)</f>
        <v>-</v>
      </c>
      <c r="E334" s="2" t="str">
        <f aca="false">IF(A334=0,"-",E333+D334+C334)</f>
        <v>-</v>
      </c>
      <c r="G334" s="2" t="str">
        <f aca="false">IF(A334=0,"-",D334+G332)</f>
        <v>-</v>
      </c>
    </row>
    <row r="335" customFormat="false" ht="13.8" hidden="false" customHeight="false" outlineLevel="0" collapsed="false">
      <c r="B335" s="3"/>
      <c r="C335" s="2" t="str">
        <f aca="false">IF(B335=0,"-",B335-A334)</f>
        <v>-</v>
      </c>
      <c r="E335" s="2" t="str">
        <f aca="false">IF(B335=0,"-",E334+D335+C335)</f>
        <v>-</v>
      </c>
      <c r="F335" s="5" t="str">
        <f aca="false">IF(B335=0,"-",E335*0.5)</f>
        <v>-</v>
      </c>
      <c r="H335" s="4" t="str">
        <f aca="false">IF(B335=0,"-",IF(G334&gt;F335,"YES","NO"))</f>
        <v>-</v>
      </c>
      <c r="I335" s="3" t="str">
        <f aca="false">IF(B335=0,"*",B335+(2*(F335-G334)))</f>
        <v>*</v>
      </c>
      <c r="K335" s="5" t="str">
        <f aca="false">IF(B335=0,"*",F335-G334)</f>
        <v>*</v>
      </c>
    </row>
    <row r="336" customFormat="false" ht="13.8" hidden="false" customHeight="false" outlineLevel="0" collapsed="false">
      <c r="A336" s="3"/>
      <c r="D336" s="2" t="str">
        <f aca="false">IF(A336=0,"-",A336-B335)</f>
        <v>-</v>
      </c>
      <c r="E336" s="2" t="str">
        <f aca="false">IF(A336=0,"-",E335+D336+C336)</f>
        <v>-</v>
      </c>
      <c r="G336" s="2" t="str">
        <f aca="false">IF(A336=0,"-",D336+G334)</f>
        <v>-</v>
      </c>
    </row>
    <row r="337" customFormat="false" ht="13.8" hidden="false" customHeight="false" outlineLevel="0" collapsed="false">
      <c r="B337" s="3"/>
      <c r="C337" s="2" t="str">
        <f aca="false">IF(B337=0,"-",B337-A336)</f>
        <v>-</v>
      </c>
      <c r="E337" s="2" t="str">
        <f aca="false">IF(B337=0,"-",E336+D337+C337)</f>
        <v>-</v>
      </c>
      <c r="F337" s="5" t="str">
        <f aca="false">IF(B337=0,"-",E337*0.5)</f>
        <v>-</v>
      </c>
      <c r="H337" s="4" t="str">
        <f aca="false">IF(B337=0,"-",IF(G336&gt;F337,"YES","NO"))</f>
        <v>-</v>
      </c>
      <c r="I337" s="3" t="str">
        <f aca="false">IF(B337=0,"*",B337+(2*(F337-G336)))</f>
        <v>*</v>
      </c>
      <c r="K337" s="5" t="str">
        <f aca="false">IF(B337=0,"*",F337-G336)</f>
        <v>*</v>
      </c>
    </row>
    <row r="338" customFormat="false" ht="13.8" hidden="false" customHeight="false" outlineLevel="0" collapsed="false">
      <c r="A338" s="3"/>
      <c r="D338" s="2" t="str">
        <f aca="false">IF(A338=0,"-",A338-B337)</f>
        <v>-</v>
      </c>
      <c r="E338" s="2" t="str">
        <f aca="false">IF(A338=0,"-",E337+D338+C338)</f>
        <v>-</v>
      </c>
      <c r="G338" s="2" t="str">
        <f aca="false">IF(A338=0,"-",D338+G336)</f>
        <v>-</v>
      </c>
    </row>
    <row r="339" customFormat="false" ht="13.8" hidden="false" customHeight="false" outlineLevel="0" collapsed="false">
      <c r="B339" s="3"/>
      <c r="C339" s="2" t="str">
        <f aca="false">IF(B339=0,"-",B339-A338)</f>
        <v>-</v>
      </c>
      <c r="E339" s="2" t="str">
        <f aca="false">IF(B339=0,"-",E338+D339+C339)</f>
        <v>-</v>
      </c>
      <c r="F339" s="5" t="str">
        <f aca="false">IF(B339=0,"-",E339*0.5)</f>
        <v>-</v>
      </c>
      <c r="H339" s="4" t="str">
        <f aca="false">IF(B339=0,"-",IF(G338&gt;F339,"YES","NO"))</f>
        <v>-</v>
      </c>
      <c r="I339" s="3" t="str">
        <f aca="false">IF(B339=0,"*",B339+(2*(F339-G338)))</f>
        <v>*</v>
      </c>
      <c r="K339" s="5" t="str">
        <f aca="false">IF(B339=0,"*",F339-G338)</f>
        <v>*</v>
      </c>
    </row>
    <row r="340" customFormat="false" ht="13.8" hidden="false" customHeight="false" outlineLevel="0" collapsed="false">
      <c r="A340" s="3"/>
      <c r="D340" s="2" t="str">
        <f aca="false">IF(A340=0,"-",A340-B339)</f>
        <v>-</v>
      </c>
      <c r="E340" s="2" t="str">
        <f aca="false">IF(A340=0,"-",E339+D340+C340)</f>
        <v>-</v>
      </c>
      <c r="G340" s="2" t="str">
        <f aca="false">IF(A340=0,"-",D340+G338)</f>
        <v>-</v>
      </c>
    </row>
    <row r="341" customFormat="false" ht="13.8" hidden="false" customHeight="false" outlineLevel="0" collapsed="false">
      <c r="B341" s="3"/>
      <c r="C341" s="2" t="str">
        <f aca="false">IF(B341=0,"-",B341-A340)</f>
        <v>-</v>
      </c>
      <c r="E341" s="2" t="str">
        <f aca="false">IF(B341=0,"-",E340+D341+C341)</f>
        <v>-</v>
      </c>
      <c r="F341" s="5" t="str">
        <f aca="false">IF(B341=0,"-",E341*0.5)</f>
        <v>-</v>
      </c>
      <c r="H341" s="4" t="str">
        <f aca="false">IF(B341=0,"-",IF(G340&gt;F341,"YES","NO"))</f>
        <v>-</v>
      </c>
      <c r="I341" s="3" t="str">
        <f aca="false">IF(B341=0,"*",B341+(2*(F341-G340)))</f>
        <v>*</v>
      </c>
      <c r="K341" s="5" t="str">
        <f aca="false">IF(B341=0,"*",F341-G340)</f>
        <v>*</v>
      </c>
    </row>
    <row r="342" customFormat="false" ht="13.8" hidden="false" customHeight="false" outlineLevel="0" collapsed="false">
      <c r="A342" s="3"/>
      <c r="D342" s="2" t="str">
        <f aca="false">IF(A342=0,"-",A342-B341)</f>
        <v>-</v>
      </c>
      <c r="E342" s="2" t="str">
        <f aca="false">IF(A342=0,"-",E341+D342+C342)</f>
        <v>-</v>
      </c>
      <c r="G342" s="2" t="str">
        <f aca="false">IF(A342=0,"-",D342+G340)</f>
        <v>-</v>
      </c>
    </row>
    <row r="343" customFormat="false" ht="13.8" hidden="false" customHeight="false" outlineLevel="0" collapsed="false">
      <c r="B343" s="3"/>
      <c r="C343" s="2" t="str">
        <f aca="false">IF(B343=0,"-",B343-A342)</f>
        <v>-</v>
      </c>
      <c r="E343" s="2" t="str">
        <f aca="false">IF(B343=0,"-",E342+D343+C343)</f>
        <v>-</v>
      </c>
      <c r="F343" s="5" t="str">
        <f aca="false">IF(B343=0,"-",E343*0.5)</f>
        <v>-</v>
      </c>
      <c r="H343" s="4" t="str">
        <f aca="false">IF(B343=0,"-",IF(G342&gt;F343,"YES","NO"))</f>
        <v>-</v>
      </c>
      <c r="I343" s="3" t="str">
        <f aca="false">IF(B343=0,"*",B343+(2*(F343-G342)))</f>
        <v>*</v>
      </c>
      <c r="K343" s="5" t="str">
        <f aca="false">IF(B343=0,"*",F343-G342)</f>
        <v>*</v>
      </c>
    </row>
    <row r="344" customFormat="false" ht="13.8" hidden="false" customHeight="false" outlineLevel="0" collapsed="false">
      <c r="A344" s="3"/>
      <c r="D344" s="2" t="str">
        <f aca="false">IF(A344=0,"-",A344-B343)</f>
        <v>-</v>
      </c>
      <c r="E344" s="2" t="str">
        <f aca="false">IF(A344=0,"-",E343+D344+C344)</f>
        <v>-</v>
      </c>
      <c r="G344" s="2" t="str">
        <f aca="false">IF(A344=0,"-",D344+G342)</f>
        <v>-</v>
      </c>
    </row>
    <row r="345" customFormat="false" ht="13.8" hidden="false" customHeight="false" outlineLevel="0" collapsed="false">
      <c r="B345" s="3"/>
      <c r="C345" s="2" t="str">
        <f aca="false">IF(B345=0,"-",B345-A344)</f>
        <v>-</v>
      </c>
      <c r="E345" s="2" t="str">
        <f aca="false">IF(B345=0,"-",E344+D345+C345)</f>
        <v>-</v>
      </c>
      <c r="F345" s="5" t="str">
        <f aca="false">IF(B345=0,"-",E345*0.5)</f>
        <v>-</v>
      </c>
      <c r="H345" s="4" t="str">
        <f aca="false">IF(B345=0,"-",IF(G344&gt;F345,"YES","NO"))</f>
        <v>-</v>
      </c>
      <c r="I345" s="3" t="str">
        <f aca="false">IF(B345=0,"*",B345+(2*(F345-G344)))</f>
        <v>*</v>
      </c>
      <c r="K345" s="5" t="str">
        <f aca="false">IF(B345=0,"*",F345-G344)</f>
        <v>*</v>
      </c>
    </row>
    <row r="346" customFormat="false" ht="13.8" hidden="false" customHeight="false" outlineLevel="0" collapsed="false">
      <c r="A346" s="3"/>
      <c r="D346" s="2" t="str">
        <f aca="false">IF(A346=0,"-",A346-B345)</f>
        <v>-</v>
      </c>
      <c r="E346" s="2" t="str">
        <f aca="false">IF(A346=0,"-",E345+D346+C346)</f>
        <v>-</v>
      </c>
      <c r="G346" s="2" t="str">
        <f aca="false">IF(A346=0,"-",D346+G344)</f>
        <v>-</v>
      </c>
    </row>
    <row r="347" customFormat="false" ht="13.8" hidden="false" customHeight="false" outlineLevel="0" collapsed="false">
      <c r="B347" s="3"/>
      <c r="C347" s="2" t="str">
        <f aca="false">IF(B347=0,"-",B347-A346)</f>
        <v>-</v>
      </c>
      <c r="E347" s="2" t="str">
        <f aca="false">IF(B347=0,"-",E346+D347+C347)</f>
        <v>-</v>
      </c>
      <c r="F347" s="5" t="str">
        <f aca="false">IF(B347=0,"-",E347*0.5)</f>
        <v>-</v>
      </c>
      <c r="H347" s="4" t="str">
        <f aca="false">IF(B347=0,"-",IF(G346&gt;F347,"YES","NO"))</f>
        <v>-</v>
      </c>
      <c r="I347" s="3" t="str">
        <f aca="false">IF(B347=0,"*",B347+(2*(F347-G346)))</f>
        <v>*</v>
      </c>
      <c r="K347" s="5" t="str">
        <f aca="false">IF(B347=0,"*",F347-G346)</f>
        <v>*</v>
      </c>
    </row>
    <row r="348" customFormat="false" ht="13.8" hidden="false" customHeight="false" outlineLevel="0" collapsed="false">
      <c r="A348" s="3"/>
      <c r="D348" s="2" t="str">
        <f aca="false">IF(A348=0,"-",A348-B347)</f>
        <v>-</v>
      </c>
      <c r="E348" s="2" t="str">
        <f aca="false">IF(A348=0,"-",E347+D348+C348)</f>
        <v>-</v>
      </c>
      <c r="G348" s="2" t="str">
        <f aca="false">IF(A348=0,"-",D348+G346)</f>
        <v>-</v>
      </c>
    </row>
    <row r="349" customFormat="false" ht="13.8" hidden="false" customHeight="false" outlineLevel="0" collapsed="false">
      <c r="B349" s="3"/>
      <c r="C349" s="2" t="str">
        <f aca="false">IF(B349=0,"-",B349-A348)</f>
        <v>-</v>
      </c>
      <c r="E349" s="2" t="str">
        <f aca="false">IF(B349=0,"-",E348+D349+C349)</f>
        <v>-</v>
      </c>
      <c r="F349" s="5" t="str">
        <f aca="false">IF(B349=0,"-",E349*0.5)</f>
        <v>-</v>
      </c>
      <c r="H349" s="4" t="str">
        <f aca="false">IF(B349=0,"-",IF(G348&gt;F349,"YES","NO"))</f>
        <v>-</v>
      </c>
      <c r="I349" s="3" t="str">
        <f aca="false">IF(B349=0,"*",B349+(2*(F349-G348)))</f>
        <v>*</v>
      </c>
      <c r="K349" s="5" t="str">
        <f aca="false">IF(B349=0,"*",F349-G348)</f>
        <v>*</v>
      </c>
    </row>
    <row r="350" customFormat="false" ht="13.8" hidden="false" customHeight="false" outlineLevel="0" collapsed="false">
      <c r="A350" s="3"/>
      <c r="D350" s="2" t="str">
        <f aca="false">IF(A350=0,"-",A350-B349)</f>
        <v>-</v>
      </c>
      <c r="E350" s="2" t="str">
        <f aca="false">IF(A350=0,"-",E349+D350+C350)</f>
        <v>-</v>
      </c>
      <c r="G350" s="2" t="str">
        <f aca="false">IF(A350=0,"-",D350+G348)</f>
        <v>-</v>
      </c>
    </row>
    <row r="351" customFormat="false" ht="13.8" hidden="false" customHeight="false" outlineLevel="0" collapsed="false">
      <c r="B351" s="3"/>
      <c r="C351" s="2" t="str">
        <f aca="false">IF(B351=0,"-",B351-A350)</f>
        <v>-</v>
      </c>
      <c r="E351" s="2" t="str">
        <f aca="false">IF(B351=0,"-",E350+D351+C351)</f>
        <v>-</v>
      </c>
      <c r="F351" s="5" t="str">
        <f aca="false">IF(B351=0,"-",E351*0.5)</f>
        <v>-</v>
      </c>
      <c r="H351" s="4" t="str">
        <f aca="false">IF(B351=0,"-",IF(G350&gt;F351,"YES","NO"))</f>
        <v>-</v>
      </c>
      <c r="I351" s="3" t="str">
        <f aca="false">IF(B351=0,"*",B351+(2*(F351-G350)))</f>
        <v>*</v>
      </c>
      <c r="K351" s="5" t="str">
        <f aca="false">IF(B351=0,"*",F351-G350)</f>
        <v>*</v>
      </c>
    </row>
    <row r="352" customFormat="false" ht="13.8" hidden="false" customHeight="false" outlineLevel="0" collapsed="false">
      <c r="A352" s="3"/>
      <c r="D352" s="2" t="str">
        <f aca="false">IF(A352=0,"-",A352-B351)</f>
        <v>-</v>
      </c>
      <c r="E352" s="2" t="str">
        <f aca="false">IF(A352=0,"-",E351+D352+C352)</f>
        <v>-</v>
      </c>
      <c r="G352" s="2" t="str">
        <f aca="false">IF(A352=0,"-",D352+G350)</f>
        <v>-</v>
      </c>
    </row>
    <row r="353" customFormat="false" ht="13.8" hidden="false" customHeight="false" outlineLevel="0" collapsed="false">
      <c r="B353" s="3"/>
      <c r="C353" s="2" t="str">
        <f aca="false">IF(B353=0,"-",B353-A352)</f>
        <v>-</v>
      </c>
      <c r="E353" s="2" t="str">
        <f aca="false">IF(B353=0,"-",E352+D353+C353)</f>
        <v>-</v>
      </c>
      <c r="F353" s="5" t="str">
        <f aca="false">IF(B353=0,"-",E353*0.5)</f>
        <v>-</v>
      </c>
      <c r="H353" s="4" t="str">
        <f aca="false">IF(B353=0,"-",IF(G352&gt;F353,"YES","NO"))</f>
        <v>-</v>
      </c>
      <c r="I353" s="3" t="str">
        <f aca="false">IF(B353=0,"*",B353+(2*(F353-G352)))</f>
        <v>*</v>
      </c>
      <c r="K353" s="5" t="str">
        <f aca="false">IF(B353=0,"*",F353-G352)</f>
        <v>*</v>
      </c>
    </row>
    <row r="354" customFormat="false" ht="13.8" hidden="false" customHeight="false" outlineLevel="0" collapsed="false">
      <c r="A354" s="3"/>
      <c r="D354" s="2" t="str">
        <f aca="false">IF(A354=0,"-",A354-B353)</f>
        <v>-</v>
      </c>
      <c r="E354" s="2" t="str">
        <f aca="false">IF(A354=0,"-",E353+D354+C354)</f>
        <v>-</v>
      </c>
      <c r="G354" s="2" t="str">
        <f aca="false">IF(A354=0,"-",D354+G352)</f>
        <v>-</v>
      </c>
    </row>
    <row r="355" customFormat="false" ht="13.8" hidden="false" customHeight="false" outlineLevel="0" collapsed="false">
      <c r="B355" s="3"/>
      <c r="C355" s="2" t="str">
        <f aca="false">IF(B355=0,"-",B355-A354)</f>
        <v>-</v>
      </c>
      <c r="E355" s="2" t="str">
        <f aca="false">IF(B355=0,"-",E354+D355+C355)</f>
        <v>-</v>
      </c>
      <c r="F355" s="5" t="str">
        <f aca="false">IF(B355=0,"-",E355*0.5)</f>
        <v>-</v>
      </c>
      <c r="H355" s="4" t="str">
        <f aca="false">IF(B355=0,"-",IF(G354&gt;F355,"YES","NO"))</f>
        <v>-</v>
      </c>
      <c r="I355" s="3" t="str">
        <f aca="false">IF(B355=0,"*",B355+(2*(F355-G354)))</f>
        <v>*</v>
      </c>
      <c r="K355" s="5" t="str">
        <f aca="false">IF(B355=0,"*",F355-G354)</f>
        <v>*</v>
      </c>
    </row>
    <row r="356" customFormat="false" ht="13.8" hidden="false" customHeight="false" outlineLevel="0" collapsed="false">
      <c r="A356" s="3"/>
      <c r="D356" s="2" t="str">
        <f aca="false">IF(A356=0,"-",A356-B355)</f>
        <v>-</v>
      </c>
      <c r="E356" s="2" t="str">
        <f aca="false">IF(A356=0,"-",E355+D356+C356)</f>
        <v>-</v>
      </c>
      <c r="G356" s="2" t="str">
        <f aca="false">IF(A356=0,"-",D356+G354)</f>
        <v>-</v>
      </c>
    </row>
    <row r="357" customFormat="false" ht="13.8" hidden="false" customHeight="false" outlineLevel="0" collapsed="false">
      <c r="B357" s="3"/>
      <c r="C357" s="2" t="str">
        <f aca="false">IF(B357=0,"-",B357-A356)</f>
        <v>-</v>
      </c>
      <c r="E357" s="2" t="str">
        <f aca="false">IF(B357=0,"-",E356+D357+C357)</f>
        <v>-</v>
      </c>
      <c r="F357" s="5" t="str">
        <f aca="false">IF(B357=0,"-",E357*0.5)</f>
        <v>-</v>
      </c>
      <c r="H357" s="4" t="str">
        <f aca="false">IF(B357=0,"-",IF(G356&gt;F357,"YES","NO"))</f>
        <v>-</v>
      </c>
      <c r="I357" s="3" t="str">
        <f aca="false">IF(B357=0,"*",B357+(2*(F357-G356)))</f>
        <v>*</v>
      </c>
      <c r="K357" s="5" t="str">
        <f aca="false">IF(B357=0,"*",F357-G356)</f>
        <v>*</v>
      </c>
    </row>
    <row r="358" customFormat="false" ht="13.8" hidden="false" customHeight="false" outlineLevel="0" collapsed="false">
      <c r="A358" s="3"/>
      <c r="D358" s="2" t="str">
        <f aca="false">IF(A358=0,"-",A358-B357)</f>
        <v>-</v>
      </c>
      <c r="E358" s="2" t="str">
        <f aca="false">IF(A358=0,"-",E357+D358+C358)</f>
        <v>-</v>
      </c>
      <c r="G358" s="2" t="str">
        <f aca="false">IF(A358=0,"-",D358+G356)</f>
        <v>-</v>
      </c>
    </row>
    <row r="359" customFormat="false" ht="13.8" hidden="false" customHeight="false" outlineLevel="0" collapsed="false">
      <c r="B359" s="3"/>
      <c r="C359" s="2" t="str">
        <f aca="false">IF(B359=0,"-",B359-A358)</f>
        <v>-</v>
      </c>
      <c r="E359" s="2" t="str">
        <f aca="false">IF(B359=0,"-",E358+D359+C359)</f>
        <v>-</v>
      </c>
      <c r="F359" s="5" t="str">
        <f aca="false">IF(B359=0,"-",E359*0.5)</f>
        <v>-</v>
      </c>
      <c r="H359" s="4" t="str">
        <f aca="false">IF(B359=0,"-",IF(G358&gt;F359,"YES","NO"))</f>
        <v>-</v>
      </c>
      <c r="I359" s="3" t="str">
        <f aca="false">IF(B359=0,"*",B359+(2*(F359-G358)))</f>
        <v>*</v>
      </c>
      <c r="K359" s="5" t="str">
        <f aca="false">IF(B359=0,"*",F359-G358)</f>
        <v>*</v>
      </c>
    </row>
    <row r="360" customFormat="false" ht="13.8" hidden="false" customHeight="false" outlineLevel="0" collapsed="false">
      <c r="A360" s="3"/>
      <c r="D360" s="2" t="str">
        <f aca="false">IF(A360=0,"-",A360-B359)</f>
        <v>-</v>
      </c>
      <c r="E360" s="2" t="str">
        <f aca="false">IF(A360=0,"-",E359+D360+C360)</f>
        <v>-</v>
      </c>
      <c r="G360" s="2" t="str">
        <f aca="false">IF(A360=0,"-",D360+G358)</f>
        <v>-</v>
      </c>
    </row>
    <row r="361" customFormat="false" ht="13.8" hidden="false" customHeight="false" outlineLevel="0" collapsed="false">
      <c r="B361" s="3"/>
      <c r="C361" s="2" t="str">
        <f aca="false">IF(B361=0,"-",B361-A360)</f>
        <v>-</v>
      </c>
      <c r="E361" s="2" t="str">
        <f aca="false">IF(B361=0,"-",E360+D361+C361)</f>
        <v>-</v>
      </c>
      <c r="F361" s="5" t="str">
        <f aca="false">IF(B361=0,"-",E361*0.5)</f>
        <v>-</v>
      </c>
      <c r="H361" s="4" t="str">
        <f aca="false">IF(B361=0,"-",IF(G360&gt;F361,"YES","NO"))</f>
        <v>-</v>
      </c>
      <c r="I361" s="3" t="str">
        <f aca="false">IF(B361=0,"*",B361+(2*(F361-G360)))</f>
        <v>*</v>
      </c>
      <c r="K361" s="5" t="str">
        <f aca="false">IF(B361=0,"*",F361-G360)</f>
        <v>*</v>
      </c>
    </row>
    <row r="362" customFormat="false" ht="13.8" hidden="false" customHeight="false" outlineLevel="0" collapsed="false">
      <c r="A362" s="3"/>
      <c r="D362" s="2" t="str">
        <f aca="false">IF(A362=0,"-",A362-B361)</f>
        <v>-</v>
      </c>
      <c r="E362" s="2" t="str">
        <f aca="false">IF(A362=0,"-",E361+D362+C362)</f>
        <v>-</v>
      </c>
      <c r="G362" s="2" t="str">
        <f aca="false">IF(A362=0,"-",D362+G360)</f>
        <v>-</v>
      </c>
    </row>
    <row r="363" customFormat="false" ht="13.8" hidden="false" customHeight="false" outlineLevel="0" collapsed="false">
      <c r="B363" s="3"/>
      <c r="C363" s="2" t="str">
        <f aca="false">IF(B363=0,"-",B363-A362)</f>
        <v>-</v>
      </c>
      <c r="E363" s="2" t="str">
        <f aca="false">IF(B363=0,"-",E362+D363+C363)</f>
        <v>-</v>
      </c>
      <c r="F363" s="5" t="str">
        <f aca="false">IF(B363=0,"-",E363*0.5)</f>
        <v>-</v>
      </c>
      <c r="H363" s="4" t="str">
        <f aca="false">IF(B363=0,"-",IF(G362&gt;F363,"YES","NO"))</f>
        <v>-</v>
      </c>
      <c r="I363" s="3" t="str">
        <f aca="false">IF(B363=0,"*",B363+(2*(F363-G362)))</f>
        <v>*</v>
      </c>
      <c r="K363" s="5" t="str">
        <f aca="false">IF(B363=0,"*",F363-G362)</f>
        <v>*</v>
      </c>
    </row>
    <row r="364" customFormat="false" ht="13.8" hidden="false" customHeight="false" outlineLevel="0" collapsed="false">
      <c r="A364" s="3"/>
      <c r="D364" s="2" t="str">
        <f aca="false">IF(A364=0,"-",A364-B363)</f>
        <v>-</v>
      </c>
      <c r="E364" s="2" t="str">
        <f aca="false">IF(A364=0,"-",E363+D364+C364)</f>
        <v>-</v>
      </c>
      <c r="G364" s="2" t="str">
        <f aca="false">IF(A364=0,"-",D364+G362)</f>
        <v>-</v>
      </c>
    </row>
    <row r="365" customFormat="false" ht="13.8" hidden="false" customHeight="false" outlineLevel="0" collapsed="false">
      <c r="B365" s="3"/>
      <c r="C365" s="2" t="str">
        <f aca="false">IF(B365=0,"-",B365-A364)</f>
        <v>-</v>
      </c>
      <c r="E365" s="2" t="str">
        <f aca="false">IF(B365=0,"-",E364+D365+C365)</f>
        <v>-</v>
      </c>
      <c r="F365" s="5" t="str">
        <f aca="false">IF(B365=0,"-",E365*0.5)</f>
        <v>-</v>
      </c>
      <c r="H365" s="4" t="str">
        <f aca="false">IF(B365=0,"-",IF(G364&gt;F365,"YES","NO"))</f>
        <v>-</v>
      </c>
      <c r="I365" s="3" t="str">
        <f aca="false">IF(B365=0,"*",B365+(2*(F365-G364)))</f>
        <v>*</v>
      </c>
      <c r="K365" s="5" t="str">
        <f aca="false">IF(B365=0,"*",F365-G364)</f>
        <v>*</v>
      </c>
    </row>
    <row r="366" customFormat="false" ht="13.8" hidden="false" customHeight="false" outlineLevel="0" collapsed="false">
      <c r="A366" s="3"/>
      <c r="D366" s="2" t="str">
        <f aca="false">IF(A366=0,"-",A366-B365)</f>
        <v>-</v>
      </c>
      <c r="E366" s="2" t="str">
        <f aca="false">IF(A366=0,"-",E365+D366+C366)</f>
        <v>-</v>
      </c>
      <c r="G366" s="2" t="str">
        <f aca="false">IF(A366=0,"-",D366+G364)</f>
        <v>-</v>
      </c>
    </row>
    <row r="367" customFormat="false" ht="13.8" hidden="false" customHeight="false" outlineLevel="0" collapsed="false">
      <c r="B367" s="3"/>
      <c r="C367" s="2" t="str">
        <f aca="false">IF(B367=0,"-",B367-A366)</f>
        <v>-</v>
      </c>
      <c r="E367" s="2" t="str">
        <f aca="false">IF(B367=0,"-",E366+D367+C367)</f>
        <v>-</v>
      </c>
      <c r="F367" s="5" t="str">
        <f aca="false">IF(B367=0,"-",E367*0.5)</f>
        <v>-</v>
      </c>
      <c r="H367" s="4" t="str">
        <f aca="false">IF(B367=0,"-",IF(G366&gt;F367,"YES","NO"))</f>
        <v>-</v>
      </c>
      <c r="I367" s="3" t="str">
        <f aca="false">IF(B367=0,"*",B367+(2*(F367-G366)))</f>
        <v>*</v>
      </c>
      <c r="K367" s="5" t="str">
        <f aca="false">IF(B367=0,"*",F367-G366)</f>
        <v>*</v>
      </c>
    </row>
    <row r="368" customFormat="false" ht="13.8" hidden="false" customHeight="false" outlineLevel="0" collapsed="false">
      <c r="A368" s="3"/>
      <c r="D368" s="2" t="str">
        <f aca="false">IF(A368=0,"-",A368-B367)</f>
        <v>-</v>
      </c>
      <c r="E368" s="2" t="str">
        <f aca="false">IF(A368=0,"-",E367+D368+C368)</f>
        <v>-</v>
      </c>
      <c r="G368" s="2" t="str">
        <f aca="false">IF(A368=0,"-",D368+G366)</f>
        <v>-</v>
      </c>
    </row>
    <row r="369" customFormat="false" ht="13.8" hidden="false" customHeight="false" outlineLevel="0" collapsed="false">
      <c r="B369" s="3"/>
      <c r="C369" s="2" t="str">
        <f aca="false">IF(B369=0,"-",B369-A368)</f>
        <v>-</v>
      </c>
      <c r="E369" s="2" t="str">
        <f aca="false">IF(B369=0,"-",E368+D369+C369)</f>
        <v>-</v>
      </c>
      <c r="F369" s="5" t="str">
        <f aca="false">IF(B369=0,"-",E369*0.5)</f>
        <v>-</v>
      </c>
      <c r="H369" s="4" t="str">
        <f aca="false">IF(B369=0,"-",IF(G368&gt;F369,"YES","NO"))</f>
        <v>-</v>
      </c>
      <c r="I369" s="3" t="str">
        <f aca="false">IF(B369=0,"*",B369+(2*(F369-G368)))</f>
        <v>*</v>
      </c>
      <c r="K369" s="5" t="str">
        <f aca="false">IF(B369=0,"*",F369-G368)</f>
        <v>*</v>
      </c>
    </row>
    <row r="370" customFormat="false" ht="13.8" hidden="false" customHeight="false" outlineLevel="0" collapsed="false">
      <c r="A370" s="3"/>
      <c r="D370" s="2" t="str">
        <f aca="false">IF(A370=0,"-",A370-B369)</f>
        <v>-</v>
      </c>
      <c r="E370" s="2" t="str">
        <f aca="false">IF(A370=0,"-",E369+D370+C370)</f>
        <v>-</v>
      </c>
      <c r="G370" s="2" t="str">
        <f aca="false">IF(A370=0,"-",D370+G368)</f>
        <v>-</v>
      </c>
    </row>
    <row r="371" customFormat="false" ht="13.8" hidden="false" customHeight="false" outlineLevel="0" collapsed="false">
      <c r="B371" s="3"/>
      <c r="C371" s="2" t="str">
        <f aca="false">IF(B371=0,"-",B371-A370)</f>
        <v>-</v>
      </c>
      <c r="E371" s="2" t="str">
        <f aca="false">IF(B371=0,"-",E370+D371+C371)</f>
        <v>-</v>
      </c>
      <c r="F371" s="5" t="str">
        <f aca="false">IF(B371=0,"-",E371*0.5)</f>
        <v>-</v>
      </c>
      <c r="H371" s="4" t="str">
        <f aca="false">IF(B371=0,"-",IF(G370&gt;F371,"YES","NO"))</f>
        <v>-</v>
      </c>
      <c r="I371" s="3" t="str">
        <f aca="false">IF(B371=0,"*",B371+(2*(F371-G370)))</f>
        <v>*</v>
      </c>
      <c r="K371" s="5" t="str">
        <f aca="false">IF(B371=0,"*",F371-G370)</f>
        <v>*</v>
      </c>
    </row>
    <row r="372" customFormat="false" ht="13.8" hidden="false" customHeight="false" outlineLevel="0" collapsed="false">
      <c r="A372" s="3"/>
      <c r="D372" s="2" t="str">
        <f aca="false">IF(A372=0,"-",A372-B371)</f>
        <v>-</v>
      </c>
      <c r="E372" s="2" t="str">
        <f aca="false">IF(A372=0,"-",E371+D372+C372)</f>
        <v>-</v>
      </c>
      <c r="G372" s="2" t="str">
        <f aca="false">IF(A372=0,"-",D372+G370)</f>
        <v>-</v>
      </c>
    </row>
    <row r="373" customFormat="false" ht="13.8" hidden="false" customHeight="false" outlineLevel="0" collapsed="false">
      <c r="B373" s="3"/>
      <c r="C373" s="2" t="str">
        <f aca="false">IF(B373=0,"-",B373-A372)</f>
        <v>-</v>
      </c>
      <c r="E373" s="2" t="str">
        <f aca="false">IF(B373=0,"-",E372+D373+C373)</f>
        <v>-</v>
      </c>
      <c r="F373" s="5" t="str">
        <f aca="false">IF(B373=0,"-",E373*0.5)</f>
        <v>-</v>
      </c>
      <c r="H373" s="4" t="str">
        <f aca="false">IF(B373=0,"-",IF(G372&gt;F373,"YES","NO"))</f>
        <v>-</v>
      </c>
      <c r="I373" s="3" t="str">
        <f aca="false">IF(B373=0,"*",B373+(2*(F373-G372)))</f>
        <v>*</v>
      </c>
      <c r="K373" s="5" t="str">
        <f aca="false">IF(B373=0,"*",F373-G372)</f>
        <v>*</v>
      </c>
    </row>
    <row r="374" customFormat="false" ht="13.8" hidden="false" customHeight="false" outlineLevel="0" collapsed="false">
      <c r="A374" s="3"/>
      <c r="D374" s="2" t="str">
        <f aca="false">IF(A374=0,"-",A374-B373)</f>
        <v>-</v>
      </c>
      <c r="E374" s="2" t="str">
        <f aca="false">IF(A374=0,"-",E373+D374+C374)</f>
        <v>-</v>
      </c>
      <c r="G374" s="2" t="str">
        <f aca="false">IF(A374=0,"-",D374+G372)</f>
        <v>-</v>
      </c>
    </row>
    <row r="375" customFormat="false" ht="13.8" hidden="false" customHeight="false" outlineLevel="0" collapsed="false">
      <c r="B375" s="3"/>
      <c r="C375" s="2" t="str">
        <f aca="false">IF(B375=0,"-",B375-A374)</f>
        <v>-</v>
      </c>
      <c r="E375" s="2" t="str">
        <f aca="false">IF(B375=0,"-",E374+D375+C375)</f>
        <v>-</v>
      </c>
      <c r="F375" s="5" t="str">
        <f aca="false">IF(B375=0,"-",E375*0.5)</f>
        <v>-</v>
      </c>
      <c r="H375" s="4" t="str">
        <f aca="false">IF(B375=0,"-",IF(G374&gt;F375,"YES","NO"))</f>
        <v>-</v>
      </c>
      <c r="I375" s="3" t="str">
        <f aca="false">IF(B375=0,"*",B375+(2*(F375-G374)))</f>
        <v>*</v>
      </c>
      <c r="K375" s="5" t="str">
        <f aca="false">IF(B375=0,"*",F375-G374)</f>
        <v>*</v>
      </c>
    </row>
    <row r="376" customFormat="false" ht="13.8" hidden="false" customHeight="false" outlineLevel="0" collapsed="false">
      <c r="A376" s="3"/>
      <c r="D376" s="2" t="str">
        <f aca="false">IF(A376=0,"-",A376-B375)</f>
        <v>-</v>
      </c>
      <c r="E376" s="2" t="str">
        <f aca="false">IF(A376=0,"-",E375+D376+C376)</f>
        <v>-</v>
      </c>
      <c r="G376" s="2" t="str">
        <f aca="false">IF(A376=0,"-",D376+G374)</f>
        <v>-</v>
      </c>
    </row>
    <row r="377" customFormat="false" ht="13.8" hidden="false" customHeight="false" outlineLevel="0" collapsed="false">
      <c r="B377" s="3"/>
      <c r="C377" s="2" t="str">
        <f aca="false">IF(B377=0,"-",B377-A376)</f>
        <v>-</v>
      </c>
      <c r="E377" s="2" t="str">
        <f aca="false">IF(B377=0,"-",E376+D377+C377)</f>
        <v>-</v>
      </c>
      <c r="F377" s="5" t="str">
        <f aca="false">IF(B377=0,"-",E377*0.5)</f>
        <v>-</v>
      </c>
      <c r="H377" s="4" t="str">
        <f aca="false">IF(B377=0,"-",IF(G376&gt;F377,"YES","NO"))</f>
        <v>-</v>
      </c>
      <c r="I377" s="3" t="str">
        <f aca="false">IF(B377=0,"*",B377+(2*(F377-G376)))</f>
        <v>*</v>
      </c>
      <c r="K377" s="5" t="str">
        <f aca="false">IF(B377=0,"*",F377-G376)</f>
        <v>*</v>
      </c>
    </row>
    <row r="378" customFormat="false" ht="13.8" hidden="false" customHeight="false" outlineLevel="0" collapsed="false">
      <c r="A378" s="3"/>
      <c r="D378" s="2" t="str">
        <f aca="false">IF(A378=0,"-",A378-B377)</f>
        <v>-</v>
      </c>
      <c r="E378" s="2" t="str">
        <f aca="false">IF(A378=0,"-",E377+D378+C378)</f>
        <v>-</v>
      </c>
      <c r="G378" s="2" t="str">
        <f aca="false">IF(A378=0,"-",D378+G376)</f>
        <v>-</v>
      </c>
    </row>
    <row r="379" customFormat="false" ht="13.8" hidden="false" customHeight="false" outlineLevel="0" collapsed="false">
      <c r="B379" s="3"/>
      <c r="C379" s="2" t="str">
        <f aca="false">IF(B379=0,"-",B379-A378)</f>
        <v>-</v>
      </c>
      <c r="E379" s="2" t="str">
        <f aca="false">IF(B379=0,"-",E378+D379+C379)</f>
        <v>-</v>
      </c>
      <c r="F379" s="5" t="str">
        <f aca="false">IF(B379=0,"-",E379*0.5)</f>
        <v>-</v>
      </c>
      <c r="H379" s="4" t="str">
        <f aca="false">IF(B379=0,"-",IF(G378&gt;F379,"YES","NO"))</f>
        <v>-</v>
      </c>
      <c r="I379" s="3" t="str">
        <f aca="false">IF(B379=0,"*",B379+(2*(F379-G378)))</f>
        <v>*</v>
      </c>
      <c r="K379" s="5" t="str">
        <f aca="false">IF(B379=0,"*",F379-G378)</f>
        <v>*</v>
      </c>
    </row>
    <row r="380" customFormat="false" ht="13.8" hidden="false" customHeight="false" outlineLevel="0" collapsed="false">
      <c r="A380" s="3"/>
      <c r="D380" s="2" t="str">
        <f aca="false">IF(A380=0,"-",A380-B379)</f>
        <v>-</v>
      </c>
      <c r="E380" s="2" t="str">
        <f aca="false">IF(A380=0,"-",E379+D380+C380)</f>
        <v>-</v>
      </c>
      <c r="G380" s="2" t="str">
        <f aca="false">IF(A380=0,"-",D380+G378)</f>
        <v>-</v>
      </c>
    </row>
    <row r="381" customFormat="false" ht="13.8" hidden="false" customHeight="false" outlineLevel="0" collapsed="false">
      <c r="B381" s="3"/>
      <c r="C381" s="2" t="str">
        <f aca="false">IF(B381=0,"-",B381-A380)</f>
        <v>-</v>
      </c>
      <c r="E381" s="2" t="str">
        <f aca="false">IF(B381=0,"-",E380+D381+C381)</f>
        <v>-</v>
      </c>
      <c r="F381" s="5" t="str">
        <f aca="false">IF(B381=0,"-",E381*0.5)</f>
        <v>-</v>
      </c>
      <c r="H381" s="4" t="str">
        <f aca="false">IF(B381=0,"-",IF(G380&gt;F381,"YES","NO"))</f>
        <v>-</v>
      </c>
      <c r="I381" s="3" t="str">
        <f aca="false">IF(B381=0,"*",B381+(2*(F381-G380)))</f>
        <v>*</v>
      </c>
      <c r="K381" s="5" t="str">
        <f aca="false">IF(B381=0,"*",F381-G380)</f>
        <v>*</v>
      </c>
    </row>
    <row r="382" customFormat="false" ht="13.8" hidden="false" customHeight="false" outlineLevel="0" collapsed="false">
      <c r="A382" s="3"/>
      <c r="D382" s="2" t="str">
        <f aca="false">IF(A382=0,"-",A382-B381)</f>
        <v>-</v>
      </c>
      <c r="E382" s="2" t="str">
        <f aca="false">IF(A382=0,"-",E381+D382+C382)</f>
        <v>-</v>
      </c>
      <c r="G382" s="2" t="str">
        <f aca="false">IF(A382=0,"-",D382+G380)</f>
        <v>-</v>
      </c>
    </row>
    <row r="383" customFormat="false" ht="13.8" hidden="false" customHeight="false" outlineLevel="0" collapsed="false">
      <c r="B383" s="3"/>
      <c r="C383" s="2" t="str">
        <f aca="false">IF(B383=0,"-",B383-A382)</f>
        <v>-</v>
      </c>
      <c r="E383" s="2" t="str">
        <f aca="false">IF(B383=0,"-",E382+D383+C383)</f>
        <v>-</v>
      </c>
      <c r="F383" s="5" t="str">
        <f aca="false">IF(B383=0,"-",E383*0.5)</f>
        <v>-</v>
      </c>
      <c r="H383" s="4" t="str">
        <f aca="false">IF(B383=0,"-",IF(G382&gt;F383,"YES","NO"))</f>
        <v>-</v>
      </c>
      <c r="I383" s="3" t="str">
        <f aca="false">IF(B383=0,"*",B383+(2*(F383-G382)))</f>
        <v>*</v>
      </c>
      <c r="K383" s="5" t="str">
        <f aca="false">IF(B383=0,"*",F383-G382)</f>
        <v>*</v>
      </c>
    </row>
    <row r="384" customFormat="false" ht="13.8" hidden="false" customHeight="false" outlineLevel="0" collapsed="false">
      <c r="A384" s="3"/>
      <c r="D384" s="2" t="str">
        <f aca="false">IF(A384=0,"-",A384-B383)</f>
        <v>-</v>
      </c>
      <c r="E384" s="2" t="str">
        <f aca="false">IF(A384=0,"-",E383+D384+C384)</f>
        <v>-</v>
      </c>
      <c r="G384" s="2" t="str">
        <f aca="false">IF(A384=0,"-",D384+G382)</f>
        <v>-</v>
      </c>
    </row>
    <row r="385" customFormat="false" ht="13.8" hidden="false" customHeight="false" outlineLevel="0" collapsed="false">
      <c r="B385" s="3"/>
      <c r="C385" s="2" t="str">
        <f aca="false">IF(B385=0,"-",B385-A384)</f>
        <v>-</v>
      </c>
      <c r="E385" s="2" t="str">
        <f aca="false">IF(B385=0,"-",E384+D385+C385)</f>
        <v>-</v>
      </c>
      <c r="F385" s="5" t="str">
        <f aca="false">IF(B385=0,"-",E385*0.5)</f>
        <v>-</v>
      </c>
      <c r="H385" s="4" t="str">
        <f aca="false">IF(B385=0,"-",IF(G384&gt;F385,"YES","NO"))</f>
        <v>-</v>
      </c>
      <c r="I385" s="3" t="str">
        <f aca="false">IF(B385=0,"*",B385+(2*(F385-G384)))</f>
        <v>*</v>
      </c>
      <c r="K385" s="5" t="str">
        <f aca="false">IF(B385=0,"*",F385-G384)</f>
        <v>*</v>
      </c>
    </row>
    <row r="386" customFormat="false" ht="13.8" hidden="false" customHeight="false" outlineLevel="0" collapsed="false">
      <c r="A386" s="3"/>
      <c r="D386" s="2" t="str">
        <f aca="false">IF(A386=0,"-",A386-B385)</f>
        <v>-</v>
      </c>
      <c r="E386" s="2" t="str">
        <f aca="false">IF(A386=0,"-",E385+D386+C386)</f>
        <v>-</v>
      </c>
      <c r="G386" s="2" t="str">
        <f aca="false">IF(A386=0,"-",D386+G384)</f>
        <v>-</v>
      </c>
    </row>
    <row r="387" customFormat="false" ht="13.8" hidden="false" customHeight="false" outlineLevel="0" collapsed="false">
      <c r="B387" s="3"/>
      <c r="C387" s="2" t="str">
        <f aca="false">IF(B387=0,"-",B387-A386)</f>
        <v>-</v>
      </c>
      <c r="E387" s="2" t="str">
        <f aca="false">IF(B387=0,"-",E386+D387+C387)</f>
        <v>-</v>
      </c>
      <c r="F387" s="5" t="str">
        <f aca="false">IF(B387=0,"-",E387*0.5)</f>
        <v>-</v>
      </c>
      <c r="H387" s="4" t="str">
        <f aca="false">IF(B387=0,"-",IF(G386&gt;F387,"YES","NO"))</f>
        <v>-</v>
      </c>
      <c r="I387" s="3" t="str">
        <f aca="false">IF(B387=0,"*",B387+(2*(F387-G386)))</f>
        <v>*</v>
      </c>
      <c r="K387" s="5" t="str">
        <f aca="false">IF(B387=0,"*",F387-G386)</f>
        <v>*</v>
      </c>
    </row>
    <row r="388" customFormat="false" ht="13.8" hidden="false" customHeight="false" outlineLevel="0" collapsed="false">
      <c r="A388" s="3"/>
      <c r="D388" s="2" t="str">
        <f aca="false">IF(A388=0,"-",A388-B387)</f>
        <v>-</v>
      </c>
      <c r="E388" s="2" t="str">
        <f aca="false">IF(A388=0,"-",E387+D388+C388)</f>
        <v>-</v>
      </c>
      <c r="G388" s="2" t="str">
        <f aca="false">IF(A388=0,"-",D388+G386)</f>
        <v>-</v>
      </c>
    </row>
    <row r="389" customFormat="false" ht="13.8" hidden="false" customHeight="false" outlineLevel="0" collapsed="false">
      <c r="B389" s="3"/>
      <c r="C389" s="2" t="str">
        <f aca="false">IF(B389=0,"-",B389-A388)</f>
        <v>-</v>
      </c>
      <c r="E389" s="2" t="str">
        <f aca="false">IF(B389=0,"-",E388+D389+C389)</f>
        <v>-</v>
      </c>
      <c r="F389" s="5" t="str">
        <f aca="false">IF(B389=0,"-",E389*0.5)</f>
        <v>-</v>
      </c>
      <c r="H389" s="4" t="str">
        <f aca="false">IF(B389=0,"-",IF(G388&gt;F389,"YES","NO"))</f>
        <v>-</v>
      </c>
      <c r="I389" s="3" t="str">
        <f aca="false">IF(B389=0,"*",B389+(2*(F389-G388)))</f>
        <v>*</v>
      </c>
      <c r="K389" s="5" t="str">
        <f aca="false">IF(B389=0,"*",F389-G388)</f>
        <v>*</v>
      </c>
    </row>
    <row r="390" customFormat="false" ht="13.8" hidden="false" customHeight="false" outlineLevel="0" collapsed="false">
      <c r="A390" s="3"/>
      <c r="D390" s="2" t="str">
        <f aca="false">IF(A390=0,"-",A390-B389)</f>
        <v>-</v>
      </c>
      <c r="E390" s="2" t="str">
        <f aca="false">IF(A390=0,"-",E389+D390+C390)</f>
        <v>-</v>
      </c>
      <c r="G390" s="2" t="str">
        <f aca="false">IF(A390=0,"-",D390+G388)</f>
        <v>-</v>
      </c>
    </row>
    <row r="391" customFormat="false" ht="13.8" hidden="false" customHeight="false" outlineLevel="0" collapsed="false">
      <c r="B391" s="3"/>
      <c r="C391" s="2" t="str">
        <f aca="false">IF(B391=0,"-",B391-A390)</f>
        <v>-</v>
      </c>
      <c r="E391" s="2" t="str">
        <f aca="false">IF(B391=0,"-",E390+D391+C391)</f>
        <v>-</v>
      </c>
      <c r="F391" s="5" t="str">
        <f aca="false">IF(B391=0,"-",E391*0.5)</f>
        <v>-</v>
      </c>
      <c r="H391" s="4" t="str">
        <f aca="false">IF(B391=0,"-",IF(G390&gt;F391,"YES","NO"))</f>
        <v>-</v>
      </c>
      <c r="I391" s="3" t="str">
        <f aca="false">IF(B391=0,"*",B391+(2*(F391-G390)))</f>
        <v>*</v>
      </c>
      <c r="K391" s="5" t="str">
        <f aca="false">IF(B391=0,"*",F391-G390)</f>
        <v>*</v>
      </c>
    </row>
    <row r="392" customFormat="false" ht="13.8" hidden="false" customHeight="false" outlineLevel="0" collapsed="false">
      <c r="A392" s="3"/>
      <c r="D392" s="2" t="str">
        <f aca="false">IF(A392=0,"-",A392-B391)</f>
        <v>-</v>
      </c>
      <c r="E392" s="2" t="str">
        <f aca="false">IF(A392=0,"-",E391+D392+C392)</f>
        <v>-</v>
      </c>
      <c r="G392" s="2" t="str">
        <f aca="false">IF(A392=0,"-",D392+G390)</f>
        <v>-</v>
      </c>
    </row>
    <row r="393" customFormat="false" ht="13.8" hidden="false" customHeight="false" outlineLevel="0" collapsed="false">
      <c r="B393" s="3"/>
      <c r="C393" s="2" t="str">
        <f aca="false">IF(B393=0,"-",B393-A392)</f>
        <v>-</v>
      </c>
      <c r="E393" s="2" t="str">
        <f aca="false">IF(B393=0,"-",E392+D393+C393)</f>
        <v>-</v>
      </c>
      <c r="F393" s="5" t="str">
        <f aca="false">IF(B393=0,"-",E393*0.5)</f>
        <v>-</v>
      </c>
      <c r="H393" s="4" t="str">
        <f aca="false">IF(B393=0,"-",IF(G392&gt;F393,"YES","NO"))</f>
        <v>-</v>
      </c>
      <c r="I393" s="3" t="str">
        <f aca="false">IF(B393=0,"*",B393+(2*(F393-G392)))</f>
        <v>*</v>
      </c>
      <c r="K393" s="5" t="str">
        <f aca="false">IF(B393=0,"*",F393-G392)</f>
        <v>*</v>
      </c>
    </row>
    <row r="394" customFormat="false" ht="13.8" hidden="false" customHeight="false" outlineLevel="0" collapsed="false">
      <c r="A394" s="3"/>
      <c r="D394" s="2" t="str">
        <f aca="false">IF(A394=0,"-",A394-B393)</f>
        <v>-</v>
      </c>
      <c r="E394" s="2" t="str">
        <f aca="false">IF(A394=0,"-",E393+D394+C394)</f>
        <v>-</v>
      </c>
      <c r="G394" s="2" t="str">
        <f aca="false">IF(A394=0,"-",D394+G392)</f>
        <v>-</v>
      </c>
    </row>
    <row r="395" customFormat="false" ht="13.8" hidden="false" customHeight="false" outlineLevel="0" collapsed="false">
      <c r="B395" s="3"/>
      <c r="C395" s="2" t="str">
        <f aca="false">IF(B395=0,"-",B395-A394)</f>
        <v>-</v>
      </c>
      <c r="E395" s="2" t="str">
        <f aca="false">IF(B395=0,"-",E394+D395+C395)</f>
        <v>-</v>
      </c>
      <c r="F395" s="5" t="str">
        <f aca="false">IF(B395=0,"-",E395*0.5)</f>
        <v>-</v>
      </c>
      <c r="H395" s="4" t="str">
        <f aca="false">IF(B395=0,"-",IF(G394&gt;F395,"YES","NO"))</f>
        <v>-</v>
      </c>
      <c r="I395" s="3" t="str">
        <f aca="false">IF(B395=0,"*",B395+(2*(F395-G394)))</f>
        <v>*</v>
      </c>
      <c r="K395" s="5" t="str">
        <f aca="false">IF(B395=0,"*",F395-G394)</f>
        <v>*</v>
      </c>
    </row>
    <row r="396" customFormat="false" ht="13.8" hidden="false" customHeight="false" outlineLevel="0" collapsed="false">
      <c r="A396" s="3"/>
      <c r="D396" s="2" t="str">
        <f aca="false">IF(A396=0,"-",A396-B395)</f>
        <v>-</v>
      </c>
      <c r="E396" s="2" t="str">
        <f aca="false">IF(A396=0,"-",E395+D396+C396)</f>
        <v>-</v>
      </c>
      <c r="G396" s="2" t="str">
        <f aca="false">IF(A396=0,"-",D396+G394)</f>
        <v>-</v>
      </c>
    </row>
    <row r="397" customFormat="false" ht="13.8" hidden="false" customHeight="false" outlineLevel="0" collapsed="false">
      <c r="B397" s="3"/>
      <c r="C397" s="2" t="str">
        <f aca="false">IF(B397=0,"-",B397-A396)</f>
        <v>-</v>
      </c>
      <c r="E397" s="2" t="str">
        <f aca="false">IF(B397=0,"-",E396+D397+C397)</f>
        <v>-</v>
      </c>
      <c r="F397" s="5" t="str">
        <f aca="false">IF(B397=0,"-",E397*0.5)</f>
        <v>-</v>
      </c>
      <c r="H397" s="4" t="str">
        <f aca="false">IF(B397=0,"-",IF(G396&gt;F397,"YES","NO"))</f>
        <v>-</v>
      </c>
      <c r="I397" s="3" t="str">
        <f aca="false">IF(B397=0,"*",B397+(2*(F397-G396)))</f>
        <v>*</v>
      </c>
      <c r="K397" s="5" t="str">
        <f aca="false">IF(B397=0,"*",F397-G396)</f>
        <v>*</v>
      </c>
    </row>
    <row r="398" customFormat="false" ht="13.8" hidden="false" customHeight="false" outlineLevel="0" collapsed="false">
      <c r="A398" s="3"/>
      <c r="D398" s="2" t="str">
        <f aca="false">IF(A398=0,"-",A398-B397)</f>
        <v>-</v>
      </c>
      <c r="E398" s="2" t="str">
        <f aca="false">IF(A398=0,"-",E397+D398+C398)</f>
        <v>-</v>
      </c>
      <c r="G398" s="2" t="str">
        <f aca="false">IF(A398=0,"-",D398+G396)</f>
        <v>-</v>
      </c>
    </row>
    <row r="399" customFormat="false" ht="13.8" hidden="false" customHeight="false" outlineLevel="0" collapsed="false">
      <c r="B399" s="3"/>
      <c r="C399" s="2" t="str">
        <f aca="false">IF(B399=0,"-",B399-A398)</f>
        <v>-</v>
      </c>
      <c r="E399" s="2" t="str">
        <f aca="false">IF(B399=0,"-",E398+D399+C399)</f>
        <v>-</v>
      </c>
      <c r="F399" s="5" t="str">
        <f aca="false">IF(B399=0,"-",E399*0.5)</f>
        <v>-</v>
      </c>
      <c r="H399" s="4" t="str">
        <f aca="false">IF(B399=0,"-",IF(G398&gt;F399,"YES","NO"))</f>
        <v>-</v>
      </c>
      <c r="I399" s="3" t="str">
        <f aca="false">IF(B399=0,"*",B399+(2*(F399-G398)))</f>
        <v>*</v>
      </c>
      <c r="K399" s="5" t="str">
        <f aca="false">IF(B399=0,"*",F399-G398)</f>
        <v>*</v>
      </c>
    </row>
    <row r="400" customFormat="false" ht="13.8" hidden="false" customHeight="false" outlineLevel="0" collapsed="false">
      <c r="A400" s="3"/>
      <c r="D400" s="2" t="str">
        <f aca="false">IF(A400=0,"-",A400-B399)</f>
        <v>-</v>
      </c>
      <c r="E400" s="2" t="str">
        <f aca="false">IF(A400=0,"-",E399+D400+C400)</f>
        <v>-</v>
      </c>
      <c r="G400" s="2" t="str">
        <f aca="false">IF(A400=0,"-",D400+G398)</f>
        <v>-</v>
      </c>
    </row>
    <row r="401" customFormat="false" ht="13.8" hidden="false" customHeight="false" outlineLevel="0" collapsed="false">
      <c r="B401" s="3"/>
      <c r="C401" s="2" t="str">
        <f aca="false">IF(B401=0,"-",B401-A400)</f>
        <v>-</v>
      </c>
      <c r="E401" s="2" t="str">
        <f aca="false">IF(B401=0,"-",E400+D401+C401)</f>
        <v>-</v>
      </c>
      <c r="F401" s="5" t="str">
        <f aca="false">IF(B401=0,"-",E401*0.5)</f>
        <v>-</v>
      </c>
      <c r="H401" s="4" t="str">
        <f aca="false">IF(B401=0,"-",IF(G400&gt;F401,"YES","NO"))</f>
        <v>-</v>
      </c>
      <c r="I401" s="3" t="str">
        <f aca="false">IF(B401=0,"*",B401+(2*(F401-G400)))</f>
        <v>*</v>
      </c>
      <c r="K401" s="5" t="str">
        <f aca="false">IF(B401=0,"*",F401-G400)</f>
        <v>*</v>
      </c>
    </row>
    <row r="402" customFormat="false" ht="13.8" hidden="false" customHeight="false" outlineLevel="0" collapsed="false">
      <c r="A402" s="3"/>
      <c r="D402" s="2" t="str">
        <f aca="false">IF(A402=0,"-",A402-B401)</f>
        <v>-</v>
      </c>
      <c r="E402" s="2" t="str">
        <f aca="false">IF(A402=0,"-",E401+D402+C402)</f>
        <v>-</v>
      </c>
      <c r="G402" s="2" t="str">
        <f aca="false">IF(A402=0,"-",D402+G400)</f>
        <v>-</v>
      </c>
    </row>
    <row r="403" customFormat="false" ht="13.8" hidden="false" customHeight="false" outlineLevel="0" collapsed="false">
      <c r="B403" s="3"/>
      <c r="C403" s="2" t="str">
        <f aca="false">IF(B403=0,"-",B403-A402)</f>
        <v>-</v>
      </c>
      <c r="E403" s="2" t="str">
        <f aca="false">IF(B403=0,"-",E402+D403+C403)</f>
        <v>-</v>
      </c>
      <c r="F403" s="5" t="str">
        <f aca="false">IF(B403=0,"-",E403*0.5)</f>
        <v>-</v>
      </c>
      <c r="H403" s="4" t="str">
        <f aca="false">IF(B403=0,"-",IF(G402&gt;F403,"YES","NO"))</f>
        <v>-</v>
      </c>
      <c r="I403" s="3" t="str">
        <f aca="false">IF(B403=0,"*",B403+(2*(F403-G402)))</f>
        <v>*</v>
      </c>
      <c r="K403" s="5" t="str">
        <f aca="false">IF(B403=0,"*",F403-G402)</f>
        <v>*</v>
      </c>
    </row>
    <row r="404" customFormat="false" ht="13.8" hidden="false" customHeight="false" outlineLevel="0" collapsed="false">
      <c r="A404" s="3"/>
      <c r="D404" s="2" t="str">
        <f aca="false">IF(A404=0,"-",A404-B403)</f>
        <v>-</v>
      </c>
      <c r="E404" s="2" t="str">
        <f aca="false">IF(A404=0,"-",E403+D404+C404)</f>
        <v>-</v>
      </c>
      <c r="G404" s="2" t="str">
        <f aca="false">IF(A404=0,"-",D404+G402)</f>
        <v>-</v>
      </c>
    </row>
    <row r="405" customFormat="false" ht="13.8" hidden="false" customHeight="false" outlineLevel="0" collapsed="false">
      <c r="B405" s="3"/>
      <c r="C405" s="2" t="str">
        <f aca="false">IF(B405=0,"-",B405-A404)</f>
        <v>-</v>
      </c>
      <c r="E405" s="2" t="str">
        <f aca="false">IF(B405=0,"-",E404+D405+C405)</f>
        <v>-</v>
      </c>
      <c r="F405" s="5" t="str">
        <f aca="false">IF(B405=0,"-",E405*0.5)</f>
        <v>-</v>
      </c>
      <c r="H405" s="4" t="str">
        <f aca="false">IF(B405=0,"-",IF(G404&gt;F405,"YES","NO"))</f>
        <v>-</v>
      </c>
      <c r="I405" s="3" t="str">
        <f aca="false">IF(B405=0,"*",B405+(2*(F405-G404)))</f>
        <v>*</v>
      </c>
      <c r="K405" s="5" t="str">
        <f aca="false">IF(B405=0,"*",F405-G404)</f>
        <v>*</v>
      </c>
    </row>
    <row r="406" customFormat="false" ht="13.8" hidden="false" customHeight="false" outlineLevel="0" collapsed="false">
      <c r="A406" s="3"/>
      <c r="D406" s="2" t="str">
        <f aca="false">IF(A406=0,"-",A406-B405)</f>
        <v>-</v>
      </c>
      <c r="E406" s="2" t="str">
        <f aca="false">IF(A406=0,"-",E405+D406+C406)</f>
        <v>-</v>
      </c>
      <c r="G406" s="2" t="str">
        <f aca="false">IF(A406=0,"-",D406+G404)</f>
        <v>-</v>
      </c>
    </row>
    <row r="407" customFormat="false" ht="13.8" hidden="false" customHeight="false" outlineLevel="0" collapsed="false">
      <c r="B407" s="3"/>
      <c r="C407" s="2" t="str">
        <f aca="false">IF(B407=0,"-",B407-A406)</f>
        <v>-</v>
      </c>
      <c r="E407" s="2" t="str">
        <f aca="false">IF(B407=0,"-",E406+D407+C407)</f>
        <v>-</v>
      </c>
      <c r="F407" s="5" t="str">
        <f aca="false">IF(B407=0,"-",E407*0.5)</f>
        <v>-</v>
      </c>
      <c r="H407" s="4" t="str">
        <f aca="false">IF(B407=0,"-",IF(G406&gt;F407,"YES","NO"))</f>
        <v>-</v>
      </c>
      <c r="I407" s="3" t="str">
        <f aca="false">IF(B407=0,"*",B407+(2*(F407-G406)))</f>
        <v>*</v>
      </c>
      <c r="K407" s="5" t="str">
        <f aca="false">IF(B407=0,"*",F407-G406)</f>
        <v>*</v>
      </c>
    </row>
    <row r="408" customFormat="false" ht="13.8" hidden="false" customHeight="false" outlineLevel="0" collapsed="false">
      <c r="A408" s="3"/>
      <c r="D408" s="2" t="str">
        <f aca="false">IF(A408=0,"-",A408-B407)</f>
        <v>-</v>
      </c>
      <c r="E408" s="2" t="str">
        <f aca="false">IF(A408=0,"-",E407+D408+C408)</f>
        <v>-</v>
      </c>
      <c r="G408" s="2" t="str">
        <f aca="false">IF(A408=0,"-",D408+G406)</f>
        <v>-</v>
      </c>
    </row>
    <row r="409" customFormat="false" ht="13.8" hidden="false" customHeight="false" outlineLevel="0" collapsed="false">
      <c r="B409" s="3"/>
      <c r="C409" s="2" t="str">
        <f aca="false">IF(B409=0,"-",B409-A408)</f>
        <v>-</v>
      </c>
      <c r="E409" s="2" t="str">
        <f aca="false">IF(B409=0,"-",E408+D409+C409)</f>
        <v>-</v>
      </c>
      <c r="F409" s="5" t="str">
        <f aca="false">IF(B409=0,"-",E409*0.5)</f>
        <v>-</v>
      </c>
      <c r="H409" s="4" t="str">
        <f aca="false">IF(B409=0,"-",IF(G408&gt;F409,"YES","NO"))</f>
        <v>-</v>
      </c>
      <c r="I409" s="3" t="str">
        <f aca="false">IF(B409=0,"*",B409+(2*(F409-G408)))</f>
        <v>*</v>
      </c>
      <c r="K409" s="5" t="str">
        <f aca="false">IF(B409=0,"*",F409-G408)</f>
        <v>*</v>
      </c>
    </row>
    <row r="410" customFormat="false" ht="13.8" hidden="false" customHeight="false" outlineLevel="0" collapsed="false">
      <c r="A410" s="3"/>
      <c r="D410" s="2" t="str">
        <f aca="false">IF(A410=0,"-",A410-B409)</f>
        <v>-</v>
      </c>
      <c r="E410" s="2" t="str">
        <f aca="false">IF(A410=0,"-",E409+D410+C410)</f>
        <v>-</v>
      </c>
      <c r="G410" s="2" t="str">
        <f aca="false">IF(A410=0,"-",D410+G408)</f>
        <v>-</v>
      </c>
    </row>
    <row r="411" customFormat="false" ht="13.8" hidden="false" customHeight="false" outlineLevel="0" collapsed="false">
      <c r="B411" s="3"/>
      <c r="C411" s="2" t="str">
        <f aca="false">IF(B411=0,"-",B411-A410)</f>
        <v>-</v>
      </c>
      <c r="E411" s="2" t="str">
        <f aca="false">IF(B411=0,"-",E410+D411+C411)</f>
        <v>-</v>
      </c>
      <c r="F411" s="5" t="str">
        <f aca="false">IF(B411=0,"-",E411*0.5)</f>
        <v>-</v>
      </c>
      <c r="H411" s="4" t="str">
        <f aca="false">IF(B411=0,"-",IF(G410&gt;F411,"YES","NO"))</f>
        <v>-</v>
      </c>
      <c r="I411" s="3" t="str">
        <f aca="false">IF(B411=0,"*",B411+(2*(F411-G410)))</f>
        <v>*</v>
      </c>
      <c r="K411" s="5" t="str">
        <f aca="false">IF(B411=0,"*",F411-G410)</f>
        <v>*</v>
      </c>
    </row>
    <row r="412" customFormat="false" ht="13.8" hidden="false" customHeight="false" outlineLevel="0" collapsed="false">
      <c r="A412" s="3"/>
      <c r="D412" s="2" t="str">
        <f aca="false">IF(A412=0,"-",A412-B411)</f>
        <v>-</v>
      </c>
      <c r="E412" s="2" t="str">
        <f aca="false">IF(A412=0,"-",E411+D412+C412)</f>
        <v>-</v>
      </c>
      <c r="G412" s="2" t="str">
        <f aca="false">IF(A412=0,"-",D412+G410)</f>
        <v>-</v>
      </c>
    </row>
    <row r="413" customFormat="false" ht="13.8" hidden="false" customHeight="false" outlineLevel="0" collapsed="false">
      <c r="B413" s="3"/>
      <c r="C413" s="2" t="str">
        <f aca="false">IF(B413=0,"-",B413-A412)</f>
        <v>-</v>
      </c>
      <c r="E413" s="2" t="str">
        <f aca="false">IF(B413=0,"-",E412+D413+C413)</f>
        <v>-</v>
      </c>
      <c r="F413" s="5" t="str">
        <f aca="false">IF(B413=0,"-",E413*0.5)</f>
        <v>-</v>
      </c>
      <c r="H413" s="4" t="str">
        <f aca="false">IF(B413=0,"-",IF(G412&gt;F413,"YES","NO"))</f>
        <v>-</v>
      </c>
      <c r="I413" s="3" t="str">
        <f aca="false">IF(B413=0,"*",B413+(2*(F413-G412)))</f>
        <v>*</v>
      </c>
      <c r="K413" s="5" t="str">
        <f aca="false">IF(B413=0,"*",F413-G412)</f>
        <v>*</v>
      </c>
    </row>
    <row r="414" customFormat="false" ht="13.8" hidden="false" customHeight="false" outlineLevel="0" collapsed="false">
      <c r="A414" s="3"/>
      <c r="D414" s="2" t="str">
        <f aca="false">IF(A414=0,"-",A414-B413)</f>
        <v>-</v>
      </c>
      <c r="E414" s="2" t="str">
        <f aca="false">IF(A414=0,"-",E413+D414+C414)</f>
        <v>-</v>
      </c>
      <c r="G414" s="2" t="str">
        <f aca="false">IF(A414=0,"-",D414+G412)</f>
        <v>-</v>
      </c>
    </row>
    <row r="415" customFormat="false" ht="13.8" hidden="false" customHeight="false" outlineLevel="0" collapsed="false">
      <c r="B415" s="3"/>
      <c r="C415" s="2" t="str">
        <f aca="false">IF(B415=0,"-",B415-A414)</f>
        <v>-</v>
      </c>
      <c r="E415" s="2" t="str">
        <f aca="false">IF(B415=0,"-",E414+D415+C415)</f>
        <v>-</v>
      </c>
      <c r="F415" s="5" t="str">
        <f aca="false">IF(B415=0,"-",E415*0.5)</f>
        <v>-</v>
      </c>
      <c r="H415" s="4" t="str">
        <f aca="false">IF(B415=0,"-",IF(G414&gt;F415,"YES","NO"))</f>
        <v>-</v>
      </c>
      <c r="I415" s="3" t="str">
        <f aca="false">IF(B415=0,"*",B415+(2*(F415-G414)))</f>
        <v>*</v>
      </c>
      <c r="K415" s="5" t="str">
        <f aca="false">IF(B415=0,"*",F415-G414)</f>
        <v>*</v>
      </c>
    </row>
    <row r="416" customFormat="false" ht="13.8" hidden="false" customHeight="false" outlineLevel="0" collapsed="false">
      <c r="A416" s="3"/>
      <c r="D416" s="2" t="str">
        <f aca="false">IF(A416=0,"-",A416-B415)</f>
        <v>-</v>
      </c>
      <c r="E416" s="2" t="str">
        <f aca="false">IF(A416=0,"-",E415+D416+C416)</f>
        <v>-</v>
      </c>
      <c r="G416" s="2" t="str">
        <f aca="false">IF(A416=0,"-",D416+G414)</f>
        <v>-</v>
      </c>
    </row>
    <row r="417" customFormat="false" ht="13.8" hidden="false" customHeight="false" outlineLevel="0" collapsed="false">
      <c r="B417" s="3"/>
      <c r="C417" s="2" t="str">
        <f aca="false">IF(B417=0,"-",B417-A416)</f>
        <v>-</v>
      </c>
      <c r="E417" s="2" t="str">
        <f aca="false">IF(B417=0,"-",E416+D417+C417)</f>
        <v>-</v>
      </c>
      <c r="F417" s="5" t="str">
        <f aca="false">IF(B417=0,"-",E417*0.5)</f>
        <v>-</v>
      </c>
      <c r="H417" s="4" t="str">
        <f aca="false">IF(B417=0,"-",IF(G416&gt;F417,"YES","NO"))</f>
        <v>-</v>
      </c>
      <c r="I417" s="3" t="str">
        <f aca="false">IF(B417=0,"*",B417+(2*(F417-G416)))</f>
        <v>*</v>
      </c>
      <c r="K417" s="5" t="str">
        <f aca="false">IF(B417=0,"*",F417-G416)</f>
        <v>*</v>
      </c>
    </row>
    <row r="418" customFormat="false" ht="13.8" hidden="false" customHeight="false" outlineLevel="0" collapsed="false">
      <c r="A418" s="3"/>
      <c r="D418" s="2" t="str">
        <f aca="false">IF(A418=0,"-",A418-B417)</f>
        <v>-</v>
      </c>
      <c r="E418" s="2" t="str">
        <f aca="false">IF(A418=0,"-",E417+D418+C418)</f>
        <v>-</v>
      </c>
      <c r="G418" s="2" t="str">
        <f aca="false">IF(A418=0,"-",D418+G416)</f>
        <v>-</v>
      </c>
    </row>
    <row r="419" customFormat="false" ht="13.8" hidden="false" customHeight="false" outlineLevel="0" collapsed="false">
      <c r="B419" s="3"/>
      <c r="C419" s="2" t="str">
        <f aca="false">IF(B419=0,"-",B419-A418)</f>
        <v>-</v>
      </c>
      <c r="E419" s="2" t="str">
        <f aca="false">IF(B419=0,"-",E418+D419+C419)</f>
        <v>-</v>
      </c>
      <c r="F419" s="5" t="str">
        <f aca="false">IF(B419=0,"-",E419*0.5)</f>
        <v>-</v>
      </c>
      <c r="H419" s="4" t="str">
        <f aca="false">IF(B419=0,"-",IF(G418&gt;F419,"YES","NO"))</f>
        <v>-</v>
      </c>
      <c r="I419" s="3" t="str">
        <f aca="false">IF(B419=0,"*",B419+(2*(F419-G418)))</f>
        <v>*</v>
      </c>
      <c r="K419" s="5" t="str">
        <f aca="false">IF(B419=0,"*",F419-G418)</f>
        <v>*</v>
      </c>
    </row>
    <row r="420" customFormat="false" ht="13.8" hidden="false" customHeight="false" outlineLevel="0" collapsed="false">
      <c r="A420" s="3"/>
      <c r="D420" s="2" t="str">
        <f aca="false">IF(A420=0,"-",A420-B419)</f>
        <v>-</v>
      </c>
      <c r="E420" s="2" t="str">
        <f aca="false">IF(A420=0,"-",E419+D420+C420)</f>
        <v>-</v>
      </c>
      <c r="G420" s="2" t="str">
        <f aca="false">IF(A420=0,"-",D420+G418)</f>
        <v>-</v>
      </c>
    </row>
    <row r="421" customFormat="false" ht="13.8" hidden="false" customHeight="false" outlineLevel="0" collapsed="false">
      <c r="B421" s="3"/>
      <c r="C421" s="2" t="str">
        <f aca="false">IF(B421=0,"-",B421-A420)</f>
        <v>-</v>
      </c>
      <c r="E421" s="2" t="str">
        <f aca="false">IF(B421=0,"-",E420+D421+C421)</f>
        <v>-</v>
      </c>
      <c r="F421" s="5" t="str">
        <f aca="false">IF(B421=0,"-",E421*0.5)</f>
        <v>-</v>
      </c>
      <c r="H421" s="4" t="str">
        <f aca="false">IF(B421=0,"-",IF(G420&gt;F421,"YES","NO"))</f>
        <v>-</v>
      </c>
      <c r="I421" s="3" t="str">
        <f aca="false">IF(B421=0,"*",B421+(2*(F421-G420)))</f>
        <v>*</v>
      </c>
      <c r="K421" s="5" t="str">
        <f aca="false">IF(B421=0,"*",F421-G420)</f>
        <v>*</v>
      </c>
    </row>
    <row r="422" customFormat="false" ht="13.8" hidden="false" customHeight="false" outlineLevel="0" collapsed="false">
      <c r="A422" s="3"/>
      <c r="D422" s="2" t="str">
        <f aca="false">IF(A422=0,"-",A422-B421)</f>
        <v>-</v>
      </c>
      <c r="E422" s="2" t="str">
        <f aca="false">IF(A422=0,"-",E421+D422+C422)</f>
        <v>-</v>
      </c>
      <c r="G422" s="2" t="str">
        <f aca="false">IF(A422=0,"-",D422+G420)</f>
        <v>-</v>
      </c>
    </row>
    <row r="423" customFormat="false" ht="13.8" hidden="false" customHeight="false" outlineLevel="0" collapsed="false">
      <c r="B423" s="3"/>
      <c r="C423" s="2" t="str">
        <f aca="false">IF(B423=0,"-",B423-A422)</f>
        <v>-</v>
      </c>
      <c r="E423" s="2" t="str">
        <f aca="false">IF(B423=0,"-",E422+D423+C423)</f>
        <v>-</v>
      </c>
      <c r="F423" s="5" t="str">
        <f aca="false">IF(B423=0,"-",E423*0.5)</f>
        <v>-</v>
      </c>
      <c r="H423" s="4" t="str">
        <f aca="false">IF(B423=0,"-",IF(G422&gt;F423,"YES","NO"))</f>
        <v>-</v>
      </c>
      <c r="I423" s="3" t="str">
        <f aca="false">IF(B423=0,"*",B423+(2*(F423-G422)))</f>
        <v>*</v>
      </c>
      <c r="K423" s="5" t="str">
        <f aca="false">IF(B423=0,"*",F423-G422)</f>
        <v>*</v>
      </c>
    </row>
    <row r="424" customFormat="false" ht="13.8" hidden="false" customHeight="false" outlineLevel="0" collapsed="false">
      <c r="A424" s="3"/>
      <c r="D424" s="2" t="str">
        <f aca="false">IF(A424=0,"-",A424-B423)</f>
        <v>-</v>
      </c>
      <c r="E424" s="2" t="str">
        <f aca="false">IF(A424=0,"-",E423+D424+C424)</f>
        <v>-</v>
      </c>
      <c r="G424" s="2" t="str">
        <f aca="false">IF(A424=0,"-",D424+G422)</f>
        <v>-</v>
      </c>
    </row>
    <row r="425" customFormat="false" ht="13.8" hidden="false" customHeight="false" outlineLevel="0" collapsed="false">
      <c r="B425" s="3"/>
      <c r="C425" s="2" t="str">
        <f aca="false">IF(B425=0,"-",B425-A424)</f>
        <v>-</v>
      </c>
      <c r="E425" s="2" t="str">
        <f aca="false">IF(B425=0,"-",E424+D425+C425)</f>
        <v>-</v>
      </c>
      <c r="F425" s="5" t="str">
        <f aca="false">IF(B425=0,"-",E425*0.5)</f>
        <v>-</v>
      </c>
      <c r="H425" s="4" t="str">
        <f aca="false">IF(B425=0,"-",IF(G424&gt;F425,"YES","NO"))</f>
        <v>-</v>
      </c>
      <c r="I425" s="3" t="str">
        <f aca="false">IF(B425=0,"*",B425+(2*(F425-G424)))</f>
        <v>*</v>
      </c>
      <c r="K425" s="5" t="str">
        <f aca="false">IF(B425=0,"*",F425-G424)</f>
        <v>*</v>
      </c>
    </row>
    <row r="426" customFormat="false" ht="13.8" hidden="false" customHeight="false" outlineLevel="0" collapsed="false">
      <c r="A426" s="3"/>
      <c r="D426" s="2" t="str">
        <f aca="false">IF(A426=0,"-",A426-B425)</f>
        <v>-</v>
      </c>
      <c r="E426" s="2" t="str">
        <f aca="false">IF(A426=0,"-",E425+D426+C426)</f>
        <v>-</v>
      </c>
      <c r="G426" s="2" t="str">
        <f aca="false">IF(A426=0,"-",D426+G424)</f>
        <v>-</v>
      </c>
    </row>
    <row r="427" customFormat="false" ht="13.8" hidden="false" customHeight="false" outlineLevel="0" collapsed="false">
      <c r="B427" s="3"/>
      <c r="C427" s="2" t="str">
        <f aca="false">IF(B427=0,"-",B427-A426)</f>
        <v>-</v>
      </c>
      <c r="E427" s="2" t="str">
        <f aca="false">IF(B427=0,"-",E426+D427+C427)</f>
        <v>-</v>
      </c>
      <c r="F427" s="5" t="str">
        <f aca="false">IF(B427=0,"-",E427*0.5)</f>
        <v>-</v>
      </c>
      <c r="H427" s="4" t="str">
        <f aca="false">IF(B427=0,"-",IF(G426&gt;F427,"YES","NO"))</f>
        <v>-</v>
      </c>
      <c r="I427" s="3" t="str">
        <f aca="false">IF(B427=0,"*",B427+(2*(F427-G426)))</f>
        <v>*</v>
      </c>
      <c r="K427" s="5" t="str">
        <f aca="false">IF(B427=0,"*",F427-G426)</f>
        <v>*</v>
      </c>
    </row>
    <row r="428" customFormat="false" ht="13.8" hidden="false" customHeight="false" outlineLevel="0" collapsed="false">
      <c r="A428" s="3"/>
      <c r="D428" s="2" t="str">
        <f aca="false">IF(A428=0,"-",A428-B427)</f>
        <v>-</v>
      </c>
      <c r="E428" s="2" t="str">
        <f aca="false">IF(A428=0,"-",E427+D428+C428)</f>
        <v>-</v>
      </c>
      <c r="G428" s="2" t="str">
        <f aca="false">IF(A428=0,"-",D428+G426)</f>
        <v>-</v>
      </c>
    </row>
    <row r="429" customFormat="false" ht="13.8" hidden="false" customHeight="false" outlineLevel="0" collapsed="false">
      <c r="B429" s="3"/>
      <c r="C429" s="2" t="str">
        <f aca="false">IF(B429=0,"-",B429-A428)</f>
        <v>-</v>
      </c>
      <c r="E429" s="2" t="str">
        <f aca="false">IF(B429=0,"-",E428+D429+C429)</f>
        <v>-</v>
      </c>
      <c r="F429" s="5" t="str">
        <f aca="false">IF(B429=0,"-",E429*0.5)</f>
        <v>-</v>
      </c>
      <c r="H429" s="4" t="str">
        <f aca="false">IF(B429=0,"-",IF(G428&gt;F429,"YES","NO"))</f>
        <v>-</v>
      </c>
      <c r="I429" s="3" t="str">
        <f aca="false">IF(B429=0,"*",B429+(2*(F429-G428)))</f>
        <v>*</v>
      </c>
      <c r="K429" s="5" t="str">
        <f aca="false">IF(B429=0,"*",F429-G428)</f>
        <v>*</v>
      </c>
    </row>
    <row r="430" customFormat="false" ht="13.8" hidden="false" customHeight="false" outlineLevel="0" collapsed="false">
      <c r="A430" s="3"/>
      <c r="D430" s="2" t="str">
        <f aca="false">IF(A430=0,"-",A430-B429)</f>
        <v>-</v>
      </c>
      <c r="E430" s="2" t="str">
        <f aca="false">IF(A430=0,"-",E429+D430+C430)</f>
        <v>-</v>
      </c>
      <c r="G430" s="2" t="str">
        <f aca="false">IF(A430=0,"-",D430+G428)</f>
        <v>-</v>
      </c>
    </row>
    <row r="431" customFormat="false" ht="13.8" hidden="false" customHeight="false" outlineLevel="0" collapsed="false">
      <c r="B431" s="3"/>
      <c r="C431" s="2" t="str">
        <f aca="false">IF(B431=0,"-",B431-A430)</f>
        <v>-</v>
      </c>
      <c r="E431" s="2" t="str">
        <f aca="false">IF(B431=0,"-",E430+D431+C431)</f>
        <v>-</v>
      </c>
      <c r="F431" s="5" t="str">
        <f aca="false">IF(B431=0,"-",E431*0.5)</f>
        <v>-</v>
      </c>
      <c r="H431" s="4" t="str">
        <f aca="false">IF(B431=0,"-",IF(G430&gt;F431,"YES","NO"))</f>
        <v>-</v>
      </c>
      <c r="I431" s="3" t="str">
        <f aca="false">IF(B431=0,"*",B431+(2*(F431-G430)))</f>
        <v>*</v>
      </c>
      <c r="K431" s="5" t="str">
        <f aca="false">IF(B431=0,"*",F431-G430)</f>
        <v>*</v>
      </c>
    </row>
    <row r="432" customFormat="false" ht="13.8" hidden="false" customHeight="false" outlineLevel="0" collapsed="false">
      <c r="A432" s="3"/>
      <c r="D432" s="2" t="str">
        <f aca="false">IF(A432=0,"-",A432-B431)</f>
        <v>-</v>
      </c>
      <c r="E432" s="2" t="str">
        <f aca="false">IF(A432=0,"-",E431+D432+C432)</f>
        <v>-</v>
      </c>
      <c r="G432" s="2" t="str">
        <f aca="false">IF(A432=0,"-",D432+G430)</f>
        <v>-</v>
      </c>
    </row>
    <row r="433" customFormat="false" ht="13.8" hidden="false" customHeight="false" outlineLevel="0" collapsed="false">
      <c r="B433" s="3"/>
      <c r="C433" s="2" t="str">
        <f aca="false">IF(B433=0,"-",B433-A432)</f>
        <v>-</v>
      </c>
      <c r="E433" s="2" t="str">
        <f aca="false">IF(B433=0,"-",E432+D433+C433)</f>
        <v>-</v>
      </c>
      <c r="F433" s="5" t="str">
        <f aca="false">IF(B433=0,"-",E433*0.5)</f>
        <v>-</v>
      </c>
      <c r="H433" s="4" t="str">
        <f aca="false">IF(B433=0,"-",IF(G432&gt;F433,"YES","NO"))</f>
        <v>-</v>
      </c>
      <c r="I433" s="3" t="str">
        <f aca="false">IF(B433=0,"*",B433+(2*(F433-G432)))</f>
        <v>*</v>
      </c>
      <c r="K433" s="5" t="str">
        <f aca="false">IF(B433=0,"*",F433-G432)</f>
        <v>*</v>
      </c>
    </row>
    <row r="434" customFormat="false" ht="13.8" hidden="false" customHeight="false" outlineLevel="0" collapsed="false">
      <c r="A434" s="3"/>
      <c r="D434" s="2" t="str">
        <f aca="false">IF(A434=0,"-",A434-B433)</f>
        <v>-</v>
      </c>
      <c r="E434" s="2" t="str">
        <f aca="false">IF(A434=0,"-",E433+D434+C434)</f>
        <v>-</v>
      </c>
      <c r="G434" s="2" t="str">
        <f aca="false">IF(A434=0,"-",D434+G432)</f>
        <v>-</v>
      </c>
    </row>
    <row r="435" customFormat="false" ht="13.8" hidden="false" customHeight="false" outlineLevel="0" collapsed="false">
      <c r="B435" s="3"/>
      <c r="C435" s="2" t="str">
        <f aca="false">IF(B435=0,"-",B435-A434)</f>
        <v>-</v>
      </c>
      <c r="E435" s="2" t="str">
        <f aca="false">IF(B435=0,"-",E434+D435+C435)</f>
        <v>-</v>
      </c>
      <c r="F435" s="5" t="str">
        <f aca="false">IF(B435=0,"-",E435*0.5)</f>
        <v>-</v>
      </c>
      <c r="H435" s="4" t="str">
        <f aca="false">IF(B435=0,"-",IF(G434&gt;F435,"YES","NO"))</f>
        <v>-</v>
      </c>
      <c r="I435" s="3" t="str">
        <f aca="false">IF(B435=0,"*",B435+(2*(F435-G434)))</f>
        <v>*</v>
      </c>
      <c r="K435" s="5" t="str">
        <f aca="false">IF(B435=0,"*",F435-G434)</f>
        <v>*</v>
      </c>
    </row>
    <row r="436" customFormat="false" ht="13.8" hidden="false" customHeight="false" outlineLevel="0" collapsed="false">
      <c r="A436" s="3"/>
      <c r="D436" s="2" t="str">
        <f aca="false">IF(A436=0,"-",A436-B435)</f>
        <v>-</v>
      </c>
      <c r="E436" s="2" t="str">
        <f aca="false">IF(A436=0,"-",E435+D436+C436)</f>
        <v>-</v>
      </c>
      <c r="G436" s="2" t="str">
        <f aca="false">IF(A436=0,"-",D436+G434)</f>
        <v>-</v>
      </c>
    </row>
    <row r="437" customFormat="false" ht="13.8" hidden="false" customHeight="false" outlineLevel="0" collapsed="false">
      <c r="B437" s="3"/>
      <c r="C437" s="2" t="str">
        <f aca="false">IF(B437=0,"-",B437-A436)</f>
        <v>-</v>
      </c>
      <c r="E437" s="2" t="str">
        <f aca="false">IF(B437=0,"-",E436+D437+C437)</f>
        <v>-</v>
      </c>
      <c r="F437" s="5" t="str">
        <f aca="false">IF(B437=0,"-",E437*0.5)</f>
        <v>-</v>
      </c>
      <c r="H437" s="4" t="str">
        <f aca="false">IF(B437=0,"-",IF(G436&gt;F437,"YES","NO"))</f>
        <v>-</v>
      </c>
      <c r="I437" s="3" t="str">
        <f aca="false">IF(B437=0,"*",B437+(2*(F437-G436)))</f>
        <v>*</v>
      </c>
      <c r="K437" s="5" t="str">
        <f aca="false">IF(B437=0,"*",F437-G436)</f>
        <v>*</v>
      </c>
    </row>
    <row r="438" customFormat="false" ht="13.8" hidden="false" customHeight="false" outlineLevel="0" collapsed="false">
      <c r="A438" s="3"/>
      <c r="D438" s="2" t="str">
        <f aca="false">IF(A438=0,"-",A438-B437)</f>
        <v>-</v>
      </c>
      <c r="E438" s="2" t="str">
        <f aca="false">IF(A438=0,"-",E437+D438+C438)</f>
        <v>-</v>
      </c>
      <c r="G438" s="2" t="str">
        <f aca="false">IF(A438=0,"-",D438+G436)</f>
        <v>-</v>
      </c>
    </row>
    <row r="439" customFormat="false" ht="13.8" hidden="false" customHeight="false" outlineLevel="0" collapsed="false">
      <c r="B439" s="3"/>
      <c r="C439" s="2" t="str">
        <f aca="false">IF(B439=0,"-",B439-A438)</f>
        <v>-</v>
      </c>
      <c r="E439" s="2" t="str">
        <f aca="false">IF(B439=0,"-",E438+D439+C439)</f>
        <v>-</v>
      </c>
      <c r="F439" s="5" t="str">
        <f aca="false">IF(B439=0,"-",E439*0.5)</f>
        <v>-</v>
      </c>
      <c r="H439" s="4" t="str">
        <f aca="false">IF(B439=0,"-",IF(G438&gt;F439,"YES","NO"))</f>
        <v>-</v>
      </c>
      <c r="I439" s="3" t="str">
        <f aca="false">IF(B439=0,"*",B439+(2*(F439-G438)))</f>
        <v>*</v>
      </c>
      <c r="K439" s="5" t="str">
        <f aca="false">IF(B439=0,"*",F439-G438)</f>
        <v>*</v>
      </c>
    </row>
    <row r="440" customFormat="false" ht="13.8" hidden="false" customHeight="false" outlineLevel="0" collapsed="false">
      <c r="A440" s="3"/>
      <c r="D440" s="2" t="str">
        <f aca="false">IF(A440=0,"-",A440-B439)</f>
        <v>-</v>
      </c>
      <c r="E440" s="2" t="str">
        <f aca="false">IF(A440=0,"-",E439+D440+C440)</f>
        <v>-</v>
      </c>
      <c r="G440" s="2" t="str">
        <f aca="false">IF(A440=0,"-",D440+G438)</f>
        <v>-</v>
      </c>
    </row>
    <row r="441" customFormat="false" ht="13.8" hidden="false" customHeight="false" outlineLevel="0" collapsed="false">
      <c r="B441" s="3"/>
      <c r="C441" s="2" t="str">
        <f aca="false">IF(B441=0,"-",B441-A440)</f>
        <v>-</v>
      </c>
      <c r="E441" s="2" t="str">
        <f aca="false">IF(B441=0,"-",E440+D441+C441)</f>
        <v>-</v>
      </c>
      <c r="F441" s="5" t="str">
        <f aca="false">IF(B441=0,"-",E441*0.5)</f>
        <v>-</v>
      </c>
      <c r="H441" s="4" t="str">
        <f aca="false">IF(B441=0,"-",IF(G440&gt;F441,"YES","NO"))</f>
        <v>-</v>
      </c>
      <c r="I441" s="3" t="str">
        <f aca="false">IF(B441=0,"*",B441+(2*(F441-G440)))</f>
        <v>*</v>
      </c>
      <c r="K441" s="5" t="str">
        <f aca="false">IF(B441=0,"*",F441-G440)</f>
        <v>*</v>
      </c>
    </row>
  </sheetData>
  <printOptions headings="false" gridLines="false" gridLinesSet="true" horizontalCentered="false" verticalCentered="false"/>
  <pageMargins left="0.5" right="0.5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